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behrs-my.sharepoint.com/personal/aleksandar_jankovic_sbeh_rs/Documents/Desktop/Workfolder-MrYankovich/Razno/"/>
    </mc:Choice>
  </mc:AlternateContent>
  <xr:revisionPtr revIDLastSave="184" documentId="11_3FBB152E94819E4354E735C8ACCC0B2DAC76966A" xr6:coauthVersionLast="47" xr6:coauthVersionMax="47" xr10:uidLastSave="{091EE8CA-F8DF-49E8-A44E-72DC2FCC995F}"/>
  <bookViews>
    <workbookView xWindow="-28920" yWindow="-12480" windowWidth="29040" windowHeight="15720" activeTab="1" xr2:uid="{00000000-000D-0000-FFFF-FFFF00000000}"/>
  </bookViews>
  <sheets>
    <sheet name="Pravila" sheetId="1" r:id="rId1"/>
    <sheet name="Test Test" sheetId="10" r:id="rId2"/>
    <sheet name="Uputstvo" sheetId="2" r:id="rId3"/>
    <sheet name="Zaposleni" sheetId="3" r:id="rId4"/>
    <sheet name="Tipovi odsustva" sheetId="4" r:id="rId5"/>
    <sheet name="Praznici" sheetId="5" r:id="rId6"/>
    <sheet name="Odsustva" sheetId="6" r:id="rId7"/>
    <sheet name="Statistika" sheetId="7" r:id="rId8"/>
    <sheet name="GO_Saldo" sheetId="8" r:id="rId9"/>
    <sheet name="GO_Saldo_Detaljno" sheetId="9" r:id="rId10"/>
  </sheets>
  <definedNames>
    <definedName name="ListaAktivnih">Zaposleni!$I$2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9" l="1"/>
  <c r="I2" i="3" a="1"/>
  <c r="I2" i="3" s="1"/>
  <c r="C22" i="9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" i="3"/>
  <c r="E2" i="9"/>
  <c r="B2" i="9"/>
  <c r="E1" i="9"/>
  <c r="G22" i="7"/>
  <c r="F22" i="7"/>
  <c r="D22" i="7"/>
  <c r="C22" i="7"/>
  <c r="B22" i="7"/>
  <c r="G21" i="7"/>
  <c r="F21" i="7"/>
  <c r="E21" i="7"/>
  <c r="D21" i="7"/>
  <c r="C21" i="7"/>
  <c r="B21" i="7"/>
  <c r="G20" i="7"/>
  <c r="F20" i="7"/>
  <c r="E20" i="7"/>
  <c r="D20" i="7"/>
  <c r="C20" i="7"/>
  <c r="B20" i="7"/>
  <c r="G19" i="7"/>
  <c r="F19" i="7"/>
  <c r="E19" i="7"/>
  <c r="D19" i="7"/>
  <c r="C19" i="7"/>
  <c r="B19" i="7"/>
  <c r="G18" i="7"/>
  <c r="F18" i="7"/>
  <c r="D18" i="7"/>
  <c r="C18" i="7"/>
  <c r="B18" i="7"/>
  <c r="G17" i="7"/>
  <c r="F17" i="7"/>
  <c r="E17" i="7"/>
  <c r="D17" i="7"/>
  <c r="C17" i="7"/>
  <c r="B17" i="7"/>
  <c r="G16" i="7"/>
  <c r="F16" i="7"/>
  <c r="E16" i="7"/>
  <c r="D16" i="7"/>
  <c r="C16" i="7"/>
  <c r="B16" i="7"/>
  <c r="G15" i="7"/>
  <c r="F15" i="7"/>
  <c r="E15" i="7"/>
  <c r="D15" i="7"/>
  <c r="C15" i="7"/>
  <c r="B15" i="7"/>
  <c r="G14" i="7"/>
  <c r="F14" i="7"/>
  <c r="E14" i="7"/>
  <c r="D14" i="7"/>
  <c r="C14" i="7"/>
  <c r="B14" i="7"/>
  <c r="G13" i="7"/>
  <c r="F13" i="7"/>
  <c r="D13" i="7"/>
  <c r="B13" i="7"/>
  <c r="G12" i="7"/>
  <c r="F12" i="7"/>
  <c r="E12" i="7"/>
  <c r="D12" i="7"/>
  <c r="C12" i="7"/>
  <c r="B12" i="7"/>
  <c r="G11" i="7"/>
  <c r="F11" i="7"/>
  <c r="E11" i="7"/>
  <c r="D11" i="7"/>
  <c r="B11" i="7"/>
  <c r="G10" i="7"/>
  <c r="F10" i="7"/>
  <c r="E10" i="7"/>
  <c r="D10" i="7"/>
  <c r="C10" i="7"/>
  <c r="B10" i="7"/>
  <c r="G9" i="7"/>
  <c r="F9" i="7"/>
  <c r="E9" i="7"/>
  <c r="D9" i="7"/>
  <c r="B9" i="7"/>
  <c r="G8" i="7"/>
  <c r="F8" i="7"/>
  <c r="E8" i="7"/>
  <c r="D8" i="7"/>
  <c r="C8" i="7"/>
  <c r="B8" i="7"/>
  <c r="G7" i="7"/>
  <c r="F7" i="7"/>
  <c r="E7" i="7"/>
  <c r="D7" i="7"/>
  <c r="D23" i="7" s="1"/>
  <c r="C7" i="7"/>
  <c r="B7" i="7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F120" i="6"/>
  <c r="A120" i="6"/>
  <c r="F119" i="6"/>
  <c r="A119" i="6"/>
  <c r="F118" i="6"/>
  <c r="A118" i="6"/>
  <c r="F117" i="6"/>
  <c r="A117" i="6"/>
  <c r="F116" i="6"/>
  <c r="A116" i="6"/>
  <c r="F115" i="6"/>
  <c r="A115" i="6"/>
  <c r="F114" i="6"/>
  <c r="A114" i="6"/>
  <c r="F113" i="6"/>
  <c r="A113" i="6"/>
  <c r="F112" i="6"/>
  <c r="A112" i="6"/>
  <c r="F111" i="6"/>
  <c r="A111" i="6"/>
  <c r="F110" i="6"/>
  <c r="A110" i="6"/>
  <c r="F109" i="6"/>
  <c r="A109" i="6"/>
  <c r="F108" i="6"/>
  <c r="A108" i="6"/>
  <c r="F107" i="6"/>
  <c r="A107" i="6"/>
  <c r="F106" i="6"/>
  <c r="A106" i="6"/>
  <c r="F105" i="6"/>
  <c r="A105" i="6"/>
  <c r="F104" i="6"/>
  <c r="A104" i="6"/>
  <c r="F103" i="6"/>
  <c r="A103" i="6"/>
  <c r="F102" i="6"/>
  <c r="A102" i="6"/>
  <c r="F101" i="6"/>
  <c r="A101" i="6"/>
  <c r="F100" i="6"/>
  <c r="A100" i="6"/>
  <c r="F99" i="6"/>
  <c r="A99" i="6"/>
  <c r="F98" i="6"/>
  <c r="A98" i="6"/>
  <c r="F97" i="6"/>
  <c r="A97" i="6"/>
  <c r="F96" i="6"/>
  <c r="A96" i="6"/>
  <c r="F95" i="6"/>
  <c r="A95" i="6"/>
  <c r="F94" i="6"/>
  <c r="A94" i="6"/>
  <c r="F93" i="6"/>
  <c r="A93" i="6"/>
  <c r="F92" i="6"/>
  <c r="A92" i="6"/>
  <c r="F91" i="6"/>
  <c r="A91" i="6"/>
  <c r="F90" i="6"/>
  <c r="A90" i="6"/>
  <c r="F89" i="6"/>
  <c r="A89" i="6"/>
  <c r="F88" i="6"/>
  <c r="A88" i="6"/>
  <c r="F87" i="6"/>
  <c r="A87" i="6"/>
  <c r="F86" i="6"/>
  <c r="A86" i="6"/>
  <c r="F85" i="6"/>
  <c r="A85" i="6"/>
  <c r="F84" i="6"/>
  <c r="A84" i="6"/>
  <c r="F83" i="6"/>
  <c r="A83" i="6"/>
  <c r="F82" i="6"/>
  <c r="A82" i="6"/>
  <c r="F81" i="6"/>
  <c r="A81" i="6"/>
  <c r="F80" i="6"/>
  <c r="A80" i="6"/>
  <c r="F79" i="6"/>
  <c r="A79" i="6"/>
  <c r="F78" i="6"/>
  <c r="A78" i="6"/>
  <c r="F77" i="6"/>
  <c r="A77" i="6"/>
  <c r="F76" i="6"/>
  <c r="A76" i="6"/>
  <c r="F75" i="6"/>
  <c r="A75" i="6"/>
  <c r="F74" i="6"/>
  <c r="A74" i="6"/>
  <c r="F73" i="6"/>
  <c r="A73" i="6"/>
  <c r="F72" i="6"/>
  <c r="A72" i="6"/>
  <c r="F71" i="6"/>
  <c r="A71" i="6"/>
  <c r="F70" i="6"/>
  <c r="A70" i="6"/>
  <c r="F69" i="6"/>
  <c r="A69" i="6"/>
  <c r="F68" i="6"/>
  <c r="A68" i="6"/>
  <c r="F67" i="6"/>
  <c r="A67" i="6"/>
  <c r="H66" i="6"/>
  <c r="F66" i="6"/>
  <c r="A66" i="6"/>
  <c r="H65" i="6"/>
  <c r="F65" i="6"/>
  <c r="A65" i="6"/>
  <c r="H64" i="6"/>
  <c r="F64" i="6"/>
  <c r="A64" i="6"/>
  <c r="H63" i="6"/>
  <c r="F63" i="6"/>
  <c r="A63" i="6"/>
  <c r="H62" i="6"/>
  <c r="F62" i="6"/>
  <c r="A62" i="6"/>
  <c r="H61" i="6"/>
  <c r="F61" i="6"/>
  <c r="A61" i="6"/>
  <c r="H60" i="6"/>
  <c r="F60" i="6"/>
  <c r="A60" i="6"/>
  <c r="H59" i="6"/>
  <c r="F59" i="6"/>
  <c r="A59" i="6"/>
  <c r="H58" i="6"/>
  <c r="F58" i="6"/>
  <c r="A58" i="6"/>
  <c r="H57" i="6"/>
  <c r="F57" i="6"/>
  <c r="A57" i="6"/>
  <c r="H56" i="6"/>
  <c r="F56" i="6"/>
  <c r="A56" i="6"/>
  <c r="H55" i="6"/>
  <c r="F55" i="6"/>
  <c r="A55" i="6"/>
  <c r="H54" i="6"/>
  <c r="F54" i="6"/>
  <c r="A54" i="6"/>
  <c r="H53" i="6"/>
  <c r="F53" i="6"/>
  <c r="A53" i="6"/>
  <c r="H52" i="6"/>
  <c r="F52" i="6"/>
  <c r="A52" i="6"/>
  <c r="H51" i="6"/>
  <c r="F51" i="6"/>
  <c r="A51" i="6"/>
  <c r="H50" i="6"/>
  <c r="F50" i="6"/>
  <c r="A50" i="6"/>
  <c r="H49" i="6"/>
  <c r="F49" i="6"/>
  <c r="A49" i="6"/>
  <c r="H48" i="6"/>
  <c r="G48" i="6"/>
  <c r="F48" i="6"/>
  <c r="A48" i="6"/>
  <c r="H47" i="6"/>
  <c r="G47" i="6"/>
  <c r="F47" i="6"/>
  <c r="A47" i="6"/>
  <c r="H46" i="6"/>
  <c r="G46" i="6"/>
  <c r="F46" i="6"/>
  <c r="A46" i="6"/>
  <c r="H45" i="6"/>
  <c r="G45" i="6"/>
  <c r="F45" i="6"/>
  <c r="A45" i="6"/>
  <c r="H44" i="6"/>
  <c r="G44" i="6"/>
  <c r="F44" i="6"/>
  <c r="A44" i="6"/>
  <c r="H43" i="6"/>
  <c r="G43" i="6"/>
  <c r="F43" i="6"/>
  <c r="A43" i="6"/>
  <c r="H42" i="6"/>
  <c r="G42" i="6"/>
  <c r="F42" i="6"/>
  <c r="A42" i="6"/>
  <c r="H41" i="6"/>
  <c r="G41" i="6"/>
  <c r="F41" i="6"/>
  <c r="A41" i="6"/>
  <c r="H40" i="6"/>
  <c r="G40" i="6"/>
  <c r="F40" i="6"/>
  <c r="A40" i="6"/>
  <c r="H39" i="6"/>
  <c r="G39" i="6"/>
  <c r="F39" i="6"/>
  <c r="A39" i="6"/>
  <c r="H38" i="6"/>
  <c r="G38" i="6"/>
  <c r="F38" i="6"/>
  <c r="A38" i="6"/>
  <c r="H37" i="6"/>
  <c r="G37" i="6"/>
  <c r="F37" i="6"/>
  <c r="A37" i="6"/>
  <c r="H36" i="6"/>
  <c r="G36" i="6"/>
  <c r="F36" i="6"/>
  <c r="A36" i="6"/>
  <c r="H35" i="6"/>
  <c r="G35" i="6"/>
  <c r="F35" i="6"/>
  <c r="A35" i="6"/>
  <c r="H34" i="6"/>
  <c r="G34" i="6"/>
  <c r="F34" i="6"/>
  <c r="A34" i="6"/>
  <c r="H33" i="6"/>
  <c r="G33" i="6"/>
  <c r="F33" i="6"/>
  <c r="A33" i="6"/>
  <c r="H32" i="6"/>
  <c r="G32" i="6"/>
  <c r="F32" i="6"/>
  <c r="A32" i="6"/>
  <c r="H31" i="6"/>
  <c r="G31" i="6"/>
  <c r="F31" i="6"/>
  <c r="A31" i="6"/>
  <c r="H30" i="6"/>
  <c r="G30" i="6"/>
  <c r="F30" i="6"/>
  <c r="A30" i="6"/>
  <c r="H29" i="6"/>
  <c r="G29" i="6"/>
  <c r="F29" i="6"/>
  <c r="A29" i="6"/>
  <c r="H28" i="6"/>
  <c r="G28" i="6"/>
  <c r="F28" i="6"/>
  <c r="A28" i="6"/>
  <c r="H27" i="6"/>
  <c r="G27" i="6"/>
  <c r="F27" i="6"/>
  <c r="A27" i="6"/>
  <c r="H26" i="6"/>
  <c r="G26" i="6"/>
  <c r="F26" i="6"/>
  <c r="A26" i="6"/>
  <c r="H25" i="6"/>
  <c r="G25" i="6"/>
  <c r="F25" i="6"/>
  <c r="A25" i="6"/>
  <c r="H24" i="6"/>
  <c r="G24" i="6"/>
  <c r="F24" i="6"/>
  <c r="A24" i="6"/>
  <c r="H23" i="6"/>
  <c r="G23" i="6"/>
  <c r="F23" i="6"/>
  <c r="A23" i="6"/>
  <c r="H22" i="6"/>
  <c r="G22" i="6"/>
  <c r="F22" i="6"/>
  <c r="A22" i="6"/>
  <c r="H21" i="6"/>
  <c r="G21" i="6"/>
  <c r="F21" i="6"/>
  <c r="A21" i="6"/>
  <c r="H20" i="6"/>
  <c r="G20" i="6"/>
  <c r="F20" i="6"/>
  <c r="A20" i="6"/>
  <c r="H19" i="6"/>
  <c r="G19" i="6"/>
  <c r="F19" i="6"/>
  <c r="A19" i="6"/>
  <c r="H18" i="6"/>
  <c r="G18" i="6"/>
  <c r="F18" i="6"/>
  <c r="A18" i="6"/>
  <c r="H17" i="6"/>
  <c r="G17" i="6"/>
  <c r="F17" i="6"/>
  <c r="A17" i="6"/>
  <c r="H16" i="6"/>
  <c r="G16" i="6"/>
  <c r="F16" i="6"/>
  <c r="A16" i="6"/>
  <c r="H15" i="6"/>
  <c r="G15" i="6"/>
  <c r="F15" i="6"/>
  <c r="A15" i="6"/>
  <c r="H14" i="6"/>
  <c r="G14" i="6"/>
  <c r="F14" i="6"/>
  <c r="A14" i="6"/>
  <c r="H13" i="6"/>
  <c r="G13" i="6"/>
  <c r="F13" i="6"/>
  <c r="A13" i="6"/>
  <c r="H12" i="6"/>
  <c r="G12" i="6"/>
  <c r="F12" i="6"/>
  <c r="A12" i="6"/>
  <c r="H11" i="6"/>
  <c r="G11" i="6"/>
  <c r="F11" i="6"/>
  <c r="A11" i="6"/>
  <c r="H10" i="6"/>
  <c r="G10" i="6"/>
  <c r="F10" i="6"/>
  <c r="A10" i="6"/>
  <c r="H9" i="6"/>
  <c r="G9" i="6"/>
  <c r="E13" i="7" s="1"/>
  <c r="F9" i="6"/>
  <c r="A9" i="6"/>
  <c r="H8" i="6"/>
  <c r="G8" i="6"/>
  <c r="F8" i="6"/>
  <c r="A8" i="6"/>
  <c r="H7" i="6"/>
  <c r="G7" i="6"/>
  <c r="E22" i="7" s="1"/>
  <c r="F7" i="6"/>
  <c r="A7" i="6"/>
  <c r="H6" i="6"/>
  <c r="G6" i="6"/>
  <c r="F6" i="6"/>
  <c r="A6" i="6"/>
  <c r="H5" i="6"/>
  <c r="G5" i="6"/>
  <c r="F5" i="6"/>
  <c r="C13" i="7" s="1"/>
  <c r="A5" i="6"/>
  <c r="H4" i="6"/>
  <c r="G4" i="6"/>
  <c r="F4" i="6"/>
  <c r="A4" i="6"/>
  <c r="H3" i="6"/>
  <c r="G3" i="6"/>
  <c r="F3" i="6"/>
  <c r="A3" i="6"/>
  <c r="H2" i="6"/>
  <c r="G2" i="6"/>
  <c r="E18" i="7" s="1"/>
  <c r="F2" i="6"/>
  <c r="A2" i="6"/>
  <c r="F23" i="7" l="1"/>
  <c r="E23" i="7"/>
  <c r="B23" i="7"/>
  <c r="H21" i="7"/>
  <c r="H12" i="7"/>
  <c r="H10" i="7"/>
  <c r="H17" i="7"/>
  <c r="G21" i="9"/>
  <c r="G16" i="9"/>
  <c r="G14" i="9"/>
  <c r="G18" i="9"/>
  <c r="G11" i="9"/>
  <c r="G12" i="9"/>
  <c r="G17" i="9"/>
  <c r="G19" i="9"/>
  <c r="G13" i="9"/>
  <c r="G15" i="9"/>
  <c r="G20" i="9"/>
  <c r="G10" i="9"/>
  <c r="G7" i="9"/>
  <c r="G6" i="9"/>
  <c r="G8" i="9"/>
  <c r="G5" i="9"/>
  <c r="G9" i="9"/>
  <c r="A5" i="9" a="1"/>
  <c r="H16" i="7"/>
  <c r="H8" i="7"/>
  <c r="H22" i="7"/>
  <c r="H14" i="7"/>
  <c r="H19" i="7"/>
  <c r="H15" i="7"/>
  <c r="G23" i="7"/>
  <c r="H20" i="7"/>
  <c r="H18" i="7"/>
  <c r="H13" i="7"/>
  <c r="C9" i="7"/>
  <c r="C11" i="7"/>
  <c r="H11" i="7" s="1"/>
  <c r="H7" i="7"/>
  <c r="I16" i="9" l="1"/>
  <c r="J11" i="9"/>
  <c r="J21" i="9"/>
  <c r="J18" i="9"/>
  <c r="A5" i="9"/>
  <c r="A6" i="8"/>
  <c r="A19" i="8"/>
  <c r="I19" i="9"/>
  <c r="I20" i="9"/>
  <c r="I21" i="9"/>
  <c r="A20" i="8"/>
  <c r="A17" i="8"/>
  <c r="A11" i="8"/>
  <c r="I9" i="9"/>
  <c r="I11" i="9"/>
  <c r="I13" i="9"/>
  <c r="I14" i="9"/>
  <c r="J9" i="9"/>
  <c r="J8" i="9"/>
  <c r="I7" i="9"/>
  <c r="J14" i="9"/>
  <c r="J10" i="9"/>
  <c r="I8" i="9"/>
  <c r="J20" i="9"/>
  <c r="J12" i="9"/>
  <c r="J7" i="9"/>
  <c r="J6" i="9"/>
  <c r="I6" i="9"/>
  <c r="I10" i="9"/>
  <c r="I18" i="9"/>
  <c r="J16" i="9"/>
  <c r="J15" i="9"/>
  <c r="J19" i="9"/>
  <c r="I17" i="9"/>
  <c r="J13" i="9"/>
  <c r="J17" i="9"/>
  <c r="I15" i="9"/>
  <c r="I12" i="9"/>
  <c r="B18" i="9"/>
  <c r="D18" i="9" s="1"/>
  <c r="A15" i="8"/>
  <c r="B8" i="9"/>
  <c r="D8" i="9" s="1"/>
  <c r="E13" i="9"/>
  <c r="E18" i="9"/>
  <c r="B21" i="9"/>
  <c r="A18" i="8"/>
  <c r="A13" i="8"/>
  <c r="A10" i="8"/>
  <c r="A8" i="8"/>
  <c r="B14" i="9"/>
  <c r="D14" i="9" s="1"/>
  <c r="E14" i="9"/>
  <c r="B19" i="9"/>
  <c r="D19" i="9" s="1"/>
  <c r="B20" i="9"/>
  <c r="D20" i="9" s="1"/>
  <c r="E20" i="9"/>
  <c r="A16" i="8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E21" i="9"/>
  <c r="B6" i="9"/>
  <c r="D6" i="9" s="1"/>
  <c r="E6" i="9"/>
  <c r="B7" i="9"/>
  <c r="D7" i="9" s="1"/>
  <c r="E7" i="9"/>
  <c r="E8" i="9"/>
  <c r="B9" i="9"/>
  <c r="D9" i="9" s="1"/>
  <c r="E9" i="9"/>
  <c r="B10" i="9"/>
  <c r="D10" i="9" s="1"/>
  <c r="E10" i="9"/>
  <c r="B11" i="9"/>
  <c r="D11" i="9" s="1"/>
  <c r="E11" i="9"/>
  <c r="B12" i="9"/>
  <c r="D12" i="9" s="1"/>
  <c r="E12" i="9"/>
  <c r="B13" i="9"/>
  <c r="D13" i="9" s="1"/>
  <c r="B13" i="8" s="1"/>
  <c r="B15" i="9"/>
  <c r="D15" i="9" s="1"/>
  <c r="E15" i="9"/>
  <c r="B16" i="9"/>
  <c r="D16" i="9" s="1"/>
  <c r="E16" i="9"/>
  <c r="B17" i="9"/>
  <c r="D17" i="9" s="1"/>
  <c r="E17" i="9"/>
  <c r="E19" i="9"/>
  <c r="A14" i="8"/>
  <c r="A12" i="8"/>
  <c r="A9" i="8"/>
  <c r="A7" i="8"/>
  <c r="H9" i="7"/>
  <c r="H23" i="7" s="1"/>
  <c r="C23" i="7"/>
  <c r="F13" i="9" l="1"/>
  <c r="H13" i="9" s="1"/>
  <c r="K13" i="9" s="1"/>
  <c r="L13" i="9" s="1"/>
  <c r="D13" i="8" s="1"/>
  <c r="A5" i="8"/>
  <c r="I5" i="9"/>
  <c r="B5" i="9"/>
  <c r="D5" i="9" s="1"/>
  <c r="E5" i="9"/>
  <c r="J5" i="9"/>
  <c r="F18" i="9"/>
  <c r="H18" i="9" s="1"/>
  <c r="K18" i="9" s="1"/>
  <c r="L18" i="9" s="1"/>
  <c r="D18" i="8" s="1"/>
  <c r="B18" i="8"/>
  <c r="F8" i="9"/>
  <c r="H8" i="9" s="1"/>
  <c r="K8" i="9" s="1"/>
  <c r="L8" i="9" s="1"/>
  <c r="D8" i="8" s="1"/>
  <c r="B8" i="8"/>
  <c r="A21" i="8"/>
  <c r="D21" i="9"/>
  <c r="F14" i="9"/>
  <c r="H14" i="9" s="1"/>
  <c r="K14" i="9" s="1"/>
  <c r="L14" i="9" s="1"/>
  <c r="D14" i="8" s="1"/>
  <c r="B14" i="8"/>
  <c r="B19" i="8"/>
  <c r="F19" i="9"/>
  <c r="H19" i="9" s="1"/>
  <c r="K19" i="9" s="1"/>
  <c r="L19" i="9" s="1"/>
  <c r="D19" i="8" s="1"/>
  <c r="F20" i="9"/>
  <c r="H20" i="9" s="1"/>
  <c r="K20" i="9" s="1"/>
  <c r="L20" i="9" s="1"/>
  <c r="D20" i="8" s="1"/>
  <c r="B20" i="8"/>
  <c r="B6" i="8"/>
  <c r="F6" i="9"/>
  <c r="H6" i="9" s="1"/>
  <c r="K6" i="9" s="1"/>
  <c r="L6" i="9" s="1"/>
  <c r="D6" i="8" s="1"/>
  <c r="B7" i="8"/>
  <c r="F7" i="9"/>
  <c r="H7" i="9" s="1"/>
  <c r="K7" i="9" s="1"/>
  <c r="L7" i="9" s="1"/>
  <c r="D7" i="8" s="1"/>
  <c r="B9" i="8"/>
  <c r="F9" i="9"/>
  <c r="H9" i="9" s="1"/>
  <c r="K9" i="9" s="1"/>
  <c r="L9" i="9" s="1"/>
  <c r="D9" i="8" s="1"/>
  <c r="B10" i="8"/>
  <c r="F10" i="9"/>
  <c r="H10" i="9" s="1"/>
  <c r="K10" i="9" s="1"/>
  <c r="L10" i="9" s="1"/>
  <c r="D10" i="8" s="1"/>
  <c r="B11" i="8"/>
  <c r="F11" i="9"/>
  <c r="H11" i="9" s="1"/>
  <c r="K11" i="9" s="1"/>
  <c r="L11" i="9" s="1"/>
  <c r="D11" i="8" s="1"/>
  <c r="F12" i="9"/>
  <c r="H12" i="9" s="1"/>
  <c r="K12" i="9" s="1"/>
  <c r="L12" i="9" s="1"/>
  <c r="D12" i="8" s="1"/>
  <c r="B12" i="8"/>
  <c r="B15" i="8"/>
  <c r="F15" i="9"/>
  <c r="H15" i="9" s="1"/>
  <c r="K15" i="9" s="1"/>
  <c r="L15" i="9" s="1"/>
  <c r="D15" i="8" s="1"/>
  <c r="B16" i="8"/>
  <c r="F16" i="9"/>
  <c r="H16" i="9" s="1"/>
  <c r="K16" i="9" s="1"/>
  <c r="L16" i="9" s="1"/>
  <c r="D16" i="8" s="1"/>
  <c r="B17" i="8"/>
  <c r="F17" i="9"/>
  <c r="H17" i="9" s="1"/>
  <c r="K17" i="9" s="1"/>
  <c r="L17" i="9" s="1"/>
  <c r="D17" i="8" s="1"/>
  <c r="E16" i="8"/>
  <c r="C16" i="8"/>
  <c r="E19" i="8"/>
  <c r="C19" i="8"/>
  <c r="E20" i="8"/>
  <c r="C20" i="8"/>
  <c r="E9" i="8"/>
  <c r="C9" i="8"/>
  <c r="C11" i="8"/>
  <c r="E11" i="8"/>
  <c r="E13" i="8"/>
  <c r="C13" i="8"/>
  <c r="E14" i="8"/>
  <c r="C14" i="8"/>
  <c r="E7" i="8"/>
  <c r="C7" i="8"/>
  <c r="E8" i="8"/>
  <c r="C8" i="8"/>
  <c r="E6" i="8"/>
  <c r="C6" i="8"/>
  <c r="C10" i="8"/>
  <c r="E10" i="8"/>
  <c r="E18" i="8"/>
  <c r="C18" i="8"/>
  <c r="E17" i="8"/>
  <c r="C17" i="8"/>
  <c r="C15" i="8"/>
  <c r="E15" i="8"/>
  <c r="E12" i="8"/>
  <c r="C12" i="8"/>
  <c r="C21" i="8"/>
  <c r="E21" i="8"/>
  <c r="C5" i="8" l="1"/>
  <c r="E5" i="8"/>
  <c r="B5" i="8"/>
  <c r="F5" i="9"/>
  <c r="H5" i="9" s="1"/>
  <c r="K5" i="9" s="1"/>
  <c r="L5" i="9" s="1"/>
  <c r="B21" i="8"/>
  <c r="F21" i="9"/>
  <c r="H21" i="9" s="1"/>
  <c r="K21" i="9" s="1"/>
  <c r="L21" i="9" s="1"/>
  <c r="D21" i="8" l="1"/>
  <c r="D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<sst xmlns="http://schemas.openxmlformats.org/spreadsheetml/2006/main" count="295" uniqueCount="192">
  <si>
    <t>Parametar</t>
  </si>
  <si>
    <t>Vrednost</t>
  </si>
  <si>
    <t>Opis</t>
  </si>
  <si>
    <t>Status odsustva</t>
  </si>
  <si>
    <t>GO max prenos (dana)</t>
  </si>
  <si>
    <t>Maksimalno prenetih dana godišnjeg odmora koji se mogu koristiti u tekućoj godini.</t>
  </si>
  <si>
    <t>Nacrt</t>
  </si>
  <si>
    <t>Nije u statistici (samo nacrt/ideja).</t>
  </si>
  <si>
    <t>Rok za korišćenje prenetog GO</t>
  </si>
  <si>
    <t>Preneti dani (do limita) moraju biti iskorišćeni do 30. juna tekuće godine.</t>
  </si>
  <si>
    <t>Planirano</t>
  </si>
  <si>
    <t>Ulazi u 'planirano do kraja godine' (ako je datum u budućnosti).</t>
  </si>
  <si>
    <t>Tip kod za GO</t>
  </si>
  <si>
    <t>GO</t>
  </si>
  <si>
    <t>U tabu Odsustva za godišnji odmor obavezno koristiti Tip (kod) = GO.</t>
  </si>
  <si>
    <t>Odobreno</t>
  </si>
  <si>
    <t>Ulazi u statistiku; u budućnosti=planirano, u prošlosti=iskorišćeno.</t>
  </si>
  <si>
    <t>Evidentirano</t>
  </si>
  <si>
    <t>Stvarno iskorišćeno (preporučeno za završena odsustva).</t>
  </si>
  <si>
    <t>Tipovi koji umanjuju GO</t>
  </si>
  <si>
    <t>vidi Tipovi odsustva!</t>
  </si>
  <si>
    <t>Kolona 'Umanjuje GO (DA/NE)' određuje koji tipovi odsustva se oduzimaju od godišnjeg. Možeš menjati po potrebi.</t>
  </si>
  <si>
    <t>Otkazano</t>
  </si>
  <si>
    <t>Odsustvo je otkazano. (Za automatizaciju: može da obriše događaj iz kalendara / ignoriše u BI.)</t>
  </si>
  <si>
    <t>Odsustva – SBEH | Uputstvo (ažurirano)</t>
  </si>
  <si>
    <t>Datum ažuriranja: 22.01.2026</t>
  </si>
  <si>
    <t>Šta je ovaj fajl?</t>
  </si>
  <si>
    <t>- Jedinstvena evidencija odsustava (GO, bolovanje, neodložni poslovi, itd.) + priprema za automatsku sinhronizaciju sa Outlook/Teams kalendarom (Power Automate).</t>
  </si>
  <si>
    <t>1) Gde se unose podaci?</t>
  </si>
  <si>
    <t>- Tab: Odsustva (tabela: tblOdsustva). Popunjavate red po red.</t>
  </si>
  <si>
    <t>- Obavezna polja u redu: Zaposleni, Tip (kod), Datum od, Datum do, Status.</t>
  </si>
  <si>
    <t>- Napomena je opcionalna (korisno za opis / razlog).</t>
  </si>
  <si>
    <t>2) Statusi (kolona: Status)</t>
  </si>
  <si>
    <t>- Planirano: zahtev je u planu (može da se menja).</t>
  </si>
  <si>
    <t>- Odobreno: menadžment/HR odobrio.</t>
  </si>
  <si>
    <t>- Evidentirano: odsustvo je već realizovano (nakon što prođe).</t>
  </si>
  <si>
    <t>- Otkazano: planirano/odobreno je otkazano (ostavljamo spremno za buduću automatizaciju).</t>
  </si>
  <si>
    <t>3) Godišnji odmor (GO) – kako da zaposleni vide stanje</t>
  </si>
  <si>
    <t>- Tab GO_Saldo (pojednostavljen): ključne informacije po zaposlenom:</t>
  </si>
  <si>
    <t xml:space="preserve">  • Preneto iz prethodne godine</t>
  </si>
  <si>
    <t xml:space="preserve">  • Iskorišćeno u tekućoj godini (uključuje i planirane dane)</t>
  </si>
  <si>
    <t xml:space="preserve">  • Preostalo do kraja tekuće godine</t>
  </si>
  <si>
    <t>- Tab GO_Saldo_Detaljno: detalji i kontrolni obračun (ako treba da se proveri logika).</t>
  </si>
  <si>
    <t>- Rok za korišćenje prenetog GO se podešava u tabu Pravila (polje: 'Rok za korišćenje prenetog GO') i automatski utiče na obračun.</t>
  </si>
  <si>
    <t>4) Pravila (tab: Pravila)</t>
  </si>
  <si>
    <t>- Ovde se menjaju parametri koji utiču na obračun (npr. rok prenetog GO).</t>
  </si>
  <si>
    <t>- Promena u Pravilima automatski se odrazi na GO_Saldo/GO_Saldo_Detaljno (formule).</t>
  </si>
  <si>
    <t>5) Polja za sinhronizaciju sa kalendarom (Power Automate)</t>
  </si>
  <si>
    <t>- CalendarEventID: ID događaja kreiranog u Outlook kalendaru. Kad postoji, flow zna da je već sinhronizovano (sprečava duplikate).</t>
  </si>
  <si>
    <t>- SyncStatus: npr. CREATED / UPDATED / DELETED / ERROR (interni status za praćenje).</t>
  </si>
  <si>
    <t>- LastSyncedOn: vreme poslednje sinhronizacije (utcNow()).</t>
  </si>
  <si>
    <t>- LastSyncMessage: poruka/greška (ako je došlo do problema).</t>
  </si>
  <si>
    <t>6) Preporuka za rad u praksi</t>
  </si>
  <si>
    <t>- Unos: Planirano → (po odobrenju) Odobreno → (po realizaciji) Evidentirano.</t>
  </si>
  <si>
    <t>- Ne brišite redove koji su već sinhronizovani; umesto toga menjajte status ili datume – i neka flow radi update.</t>
  </si>
  <si>
    <t>Napomena za Excel Online:</t>
  </si>
  <si>
    <t>- Ako formule ne 'povuku' odmah, osvežite fajl (Refresh) ili kopirajte formule u nove redove (Excel ponekad ne primeni automatski u tabeli).</t>
  </si>
  <si>
    <t>ID</t>
  </si>
  <si>
    <t>Ime i prezime</t>
  </si>
  <si>
    <t>Tim</t>
  </si>
  <si>
    <t>Datum zaposlenja</t>
  </si>
  <si>
    <t>Status</t>
  </si>
  <si>
    <t>GO preneto (dana)</t>
  </si>
  <si>
    <t>GO kvota godišnje (dana)</t>
  </si>
  <si>
    <t>Milica Milisavljević</t>
  </si>
  <si>
    <t>legal</t>
  </si>
  <si>
    <t>Aktivan</t>
  </si>
  <si>
    <t>Nikola Lazarević</t>
  </si>
  <si>
    <t>tech</t>
  </si>
  <si>
    <t>Luka Pandurov</t>
  </si>
  <si>
    <t>Stefan Josimov</t>
  </si>
  <si>
    <t>field ops</t>
  </si>
  <si>
    <t>Slavko Marjanović</t>
  </si>
  <si>
    <t>Dejan Đorić</t>
  </si>
  <si>
    <t>Stevo Ljubičić</t>
  </si>
  <si>
    <t>Ivana Rosić</t>
  </si>
  <si>
    <t>admin</t>
  </si>
  <si>
    <t>Maja Petrović</t>
  </si>
  <si>
    <t>Ružica Pantović</t>
  </si>
  <si>
    <t>finance</t>
  </si>
  <si>
    <t>Mihailo Savić</t>
  </si>
  <si>
    <t>Uroš Velinovski</t>
  </si>
  <si>
    <t>Mina Simonović</t>
  </si>
  <si>
    <t>Dragan Babić</t>
  </si>
  <si>
    <t>Olga Jovanović</t>
  </si>
  <si>
    <t>Konsultanti</t>
  </si>
  <si>
    <t>Aleksandar Janković</t>
  </si>
  <si>
    <t>Operacije</t>
  </si>
  <si>
    <t>Kod</t>
  </si>
  <si>
    <t>Tip odsustva</t>
  </si>
  <si>
    <t>Umanjuje GO (DA/NE)</t>
  </si>
  <si>
    <t>BO</t>
  </si>
  <si>
    <t>Bolovanje</t>
  </si>
  <si>
    <t>Zdravstveno odsustvo (uz doznake po potrebi)</t>
  </si>
  <si>
    <t>NE</t>
  </si>
  <si>
    <t>Godišnji odmor</t>
  </si>
  <si>
    <t>Planirani godišnji odmor</t>
  </si>
  <si>
    <t>DA</t>
  </si>
  <si>
    <t>FA</t>
  </si>
  <si>
    <t>Fakultet</t>
  </si>
  <si>
    <t>Obaveze vezane za studije/ispite</t>
  </si>
  <si>
    <t>DA/NE</t>
  </si>
  <si>
    <t>NP</t>
  </si>
  <si>
    <t>Neodložni poslovi</t>
  </si>
  <si>
    <t>Hitne privatne obaveze</t>
  </si>
  <si>
    <t>OS</t>
  </si>
  <si>
    <t>Ostalo</t>
  </si>
  <si>
    <t>Sve ostalo (navesti u napomeni)</t>
  </si>
  <si>
    <t>SV</t>
  </si>
  <si>
    <t>Slava/verski praznik</t>
  </si>
  <si>
    <t>Odsustvo zbog slave ili verskog praznika</t>
  </si>
  <si>
    <t>Datum</t>
  </si>
  <si>
    <t>Naziv praznika / neradnog dana</t>
  </si>
  <si>
    <t>Nova Godina</t>
  </si>
  <si>
    <t>Božić (Pravoslavni)</t>
  </si>
  <si>
    <t>Dan državnosti</t>
  </si>
  <si>
    <t>Uskrs (Pravoslavni)</t>
  </si>
  <si>
    <t>Praznik rada</t>
  </si>
  <si>
    <t>Dan primirja u I svetskom ratu</t>
  </si>
  <si>
    <t>Zaposleni</t>
  </si>
  <si>
    <t>Tip (kod)</t>
  </si>
  <si>
    <t>Datum od</t>
  </si>
  <si>
    <t>Datum do</t>
  </si>
  <si>
    <t>Broj dana (radni)</t>
  </si>
  <si>
    <t>Godina</t>
  </si>
  <si>
    <t>Mesec</t>
  </si>
  <si>
    <t>Napomena</t>
  </si>
  <si>
    <t>Umanjuje GO</t>
  </si>
  <si>
    <t>CalendarEventID</t>
  </si>
  <si>
    <t>SyncStatus</t>
  </si>
  <si>
    <t>LastSyncedOn</t>
  </si>
  <si>
    <t>LastSyncMessage</t>
  </si>
  <si>
    <t xml:space="preserve">neodlozni poslovi </t>
  </si>
  <si>
    <t>AAMkADIwYmIwZjI4LWI5NGYtNDMwYy1hMjM3LTAyNWYwNDU5MTYzNwBGAAAAAABCyJptxNOoQIA24H_7GwlXBwBG8Zz3r_PMT7RDuJzmmKnJAAAAAAENAABG8Zz3r_PMT7RDuJzmmKnJAAAnStSQAAA=</t>
  </si>
  <si>
    <t>CREATED</t>
  </si>
  <si>
    <t>2026-01-21T10:43:50.8442552Z</t>
  </si>
  <si>
    <t>AAMkADIwYmIwZjI4LWI5NGYtNDMwYy1hMjM3LTAyNWYwNDU5MTYzNwBGAAAAAABCyJptxNOoQIA24H_7GwlXBwBG8Zz3r_PMT7RDuJzmmKnJAAAAAAENAABG8Zz3r_PMT7RDuJzmmKnJAAAnStSSAAA=</t>
  </si>
  <si>
    <t>2026-01-21T10:43:52.5256147Z</t>
  </si>
  <si>
    <t>Ispit</t>
  </si>
  <si>
    <t>AAMkADIwYmIwZjI4LWI5NGYtNDMwYy1hMjM3LTAyNWYwNDU5MTYzNwBGAAAAAABCyJptxNOoQIA24H_7GwlXBwBG8Zz3r_PMT7RDuJzmmKnJAAAAAAENAABG8Zz3r_PMT7RDuJzmmKnJAAAnStSUAAA=</t>
  </si>
  <si>
    <t>2026-01-21T10:43:53.7270364Z</t>
  </si>
  <si>
    <t>Odmor</t>
  </si>
  <si>
    <t>AAMkADIwYmIwZjI4LWI5NGYtNDMwYy1hMjM3LTAyNWYwNDU5MTYzNwBGAAAAAABCyJptxNOoQIA24H_7GwlXBwBG8Zz3r_PMT7RDuJzmmKnJAAAAAAENAABG8Zz3r_PMT7RDuJzmmKnJAAAnStSWAAA=</t>
  </si>
  <si>
    <t>2026-01-21T10:43:55.1446021Z</t>
  </si>
  <si>
    <t>AAMkADIwYmIwZjI4LWI5NGYtNDMwYy1hMjM3LTAyNWYwNDU5MTYzNwBGAAAAAABCyJptxNOoQIA24H_7GwlXBwBG8Zz3r_PMT7RDuJzmmKnJAAAAAAENAABG8Zz3r_PMT7RDuJzmmKnJAAAnStSYAAA=</t>
  </si>
  <si>
    <t>2026-01-21T10:43:56.9333994Z</t>
  </si>
  <si>
    <t>Test test</t>
  </si>
  <si>
    <t>AAMkADIwYmIwZjI4LWI5NGYtNDMwYy1hMjM3LTAyNWYwNDU5MTYzNwBGAAAAAABCyJptxNOoQIA24H_7GwlXBwBG8Zz3r_PMT7RDuJzmmKnJAAAAAAENAABG8Zz3r_PMT7RDuJzmmKnJAAAnStSkAAA=</t>
  </si>
  <si>
    <t>DELETED</t>
  </si>
  <si>
    <t>2026-01-21T12:00:09.0796879Z</t>
  </si>
  <si>
    <t>Slavko ide na odmor</t>
  </si>
  <si>
    <t>AAMkADIwYmIwZjI4LWI5NGYtNDMwYy1hMjM3LTAyNWYwNDU5MTYzNwBGAAAAAABCyJptxNOoQIA24H_7GwlXBwBG8Zz3r_PMT7RDuJzmmKnJAAAAAAENAABG8Zz3r_PMT7RDuJzmmKnJAAAnStSeAAA=</t>
  </si>
  <si>
    <t>2026-01-21T10:47:57.0604554Z</t>
  </si>
  <si>
    <t>Pasoš</t>
  </si>
  <si>
    <t>AAMkADIwYmIwZjI4LWI5NGYtNDMwYy1hMjM3LTAyNWYwNDU5MTYzNwBGAAAAAABCyJptxNOoQIA24H_7GwlXBwBG8Zz3r_PMT7RDuJzmmKnJAAAAAAENAABG8Zz3r_PMT7RDuJzmmKnJAAAnStSiAAA=</t>
  </si>
  <si>
    <t>2026-01-21T11:09:37.1826015Z</t>
  </si>
  <si>
    <t>Statistika odsustava</t>
  </si>
  <si>
    <t>Izabrana godina:</t>
  </si>
  <si>
    <t>Po zaposlenom (zbir Broj dana (radni)):</t>
  </si>
  <si>
    <t>BO (Bolovanje)</t>
  </si>
  <si>
    <t>GO (Godišnji)</t>
  </si>
  <si>
    <t>FA (Fakultet)</t>
  </si>
  <si>
    <t>NP (Neodložni)</t>
  </si>
  <si>
    <t>OS (Ostalo)</t>
  </si>
  <si>
    <t>SV (Slava/verski)</t>
  </si>
  <si>
    <t>Ukupno</t>
  </si>
  <si>
    <t>UKUPNO</t>
  </si>
  <si>
    <t>GO saldo (pregled)</t>
  </si>
  <si>
    <t>Detaljniji obračun i kontrola: tab 'GO_Saldo_Detaljno'.</t>
  </si>
  <si>
    <t>Preneto priznato (dana)</t>
  </si>
  <si>
    <t>Iskorišćeno + planirano (dana)</t>
  </si>
  <si>
    <t>Preostalo do kraja (dana)</t>
  </si>
  <si>
    <t>Izabrana godina</t>
  </si>
  <si>
    <t>Rok prenetog GO</t>
  </si>
  <si>
    <t>Današnji datum</t>
  </si>
  <si>
    <t>Max prenos (dana)</t>
  </si>
  <si>
    <t>GO preneto (unos)</t>
  </si>
  <si>
    <t>GO kvota (unos)</t>
  </si>
  <si>
    <t>GO preneto priznato</t>
  </si>
  <si>
    <t>Odsustva (umanjuje GO) iskorišćeno do 30.06</t>
  </si>
  <si>
    <t>GO preneto preostalo (validno do 30.06)</t>
  </si>
  <si>
    <t>GO preneto izgubljeno (posle 30.06)</t>
  </si>
  <si>
    <t>GO raspoloživo danas</t>
  </si>
  <si>
    <t>Odsustva (umanjuje GO) iskorišćeno do danas</t>
  </si>
  <si>
    <t>Odsustva (umanjuje GO) planirano do kraja godine</t>
  </si>
  <si>
    <t>GO preostalo danas</t>
  </si>
  <si>
    <t>GO preostalo posle planiranog</t>
  </si>
  <si>
    <t>Aktivan?</t>
  </si>
  <si>
    <t>Luka Kostov Drndarski</t>
  </si>
  <si>
    <t>direktor</t>
  </si>
  <si>
    <t>Liste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</si>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</sst>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555555"/>
      <name val="Calibri"/>
    </font>
    <font>
      <b/>
      <sz val="11"/>
      <color rgb="FFFFFFFF"/>
      <name val="Calibri"/>
    </font>
    <font>
      <b/>
      <sz val="14"/>
      <name val="Calibri"/>
    </font>
    <font>
      <sz val="11"/>
      <name val="Calibri"/>
    </font>
    <font>
      <b/>
      <sz val="14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0" xfId="0" applyNumberFormat="1" applyAlignment="1">
      <alignment vertical="center"/>
    </xf>
    <xf numFmtId="0" fontId="1" fillId="0" borderId="0" xfId="0" applyFont="1" applyAlignment="1">
      <alignment vertical="top" wrapText="1"/>
    </xf>
    <xf numFmtId="0" fontId="7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2" fontId="0" fillId="0" borderId="3" xfId="0" applyNumberFormat="1" applyBorder="1"/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" fontId="0" fillId="0" borderId="3" xfId="0" applyNumberFormat="1" applyBorder="1"/>
    <xf numFmtId="0" fontId="3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8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Odsustva" displayName="tblOdsustva" ref="A1:O500">
  <autoFilter ref="A1:O500" xr:uid="{00000000-0009-0000-0100-000001000000}"/>
  <tableColumns count="15">
    <tableColumn id="1" xr3:uid="{00000000-0010-0000-0000-000001000000}" name="ID">
      <calculatedColumnFormula>ROW() - ROW(tblOdsustva[[#Headers],[ID]])</calculatedColumnFormula>
    </tableColumn>
    <tableColumn id="2" xr3:uid="{00000000-0010-0000-0000-000002000000}" name="Zaposleni"/>
    <tableColumn id="3" xr3:uid="{00000000-0010-0000-0000-000003000000}" name="Tip (kod)"/>
    <tableColumn id="4" xr3:uid="{00000000-0010-0000-0000-000004000000}" name="Datum od"/>
    <tableColumn id="5" xr3:uid="{00000000-0010-0000-0000-000005000000}" name="Datum do"/>
    <tableColumn id="6" xr3:uid="{00000000-0010-0000-0000-000006000000}" name="Broj dana (radni)"/>
    <tableColumn id="7" xr3:uid="{00000000-0010-0000-0000-000007000000}" name="Godina"/>
    <tableColumn id="8" xr3:uid="{00000000-0010-0000-0000-000008000000}" name="Mesec"/>
    <tableColumn id="9" xr3:uid="{00000000-0010-0000-0000-000009000000}" name="Napomena"/>
    <tableColumn id="10" xr3:uid="{00000000-0010-0000-0000-00000A000000}" name="Status"/>
    <tableColumn id="11" xr3:uid="{00000000-0010-0000-0000-00000B000000}" name="Umanjuje GO"/>
    <tableColumn id="12" xr3:uid="{00000000-0010-0000-0000-00000C000000}" name="CalendarEventID"/>
    <tableColumn id="13" xr3:uid="{00000000-0010-0000-0000-00000D000000}" name="SyncStatus"/>
    <tableColumn id="14" xr3:uid="{00000000-0010-0000-0000-00000E000000}" name="LastSyncedOn"/>
    <tableColumn id="15" xr3:uid="{00000000-0010-0000-0000-00000F000000}" name="LastSyncMess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A16" sqref="A16"/>
    </sheetView>
  </sheetViews>
  <sheetFormatPr defaultRowHeight="14.4" x14ac:dyDescent="0.3"/>
  <cols>
    <col min="1" max="1" width="28" customWidth="1"/>
    <col min="2" max="2" width="14" customWidth="1"/>
    <col min="3" max="3" width="60" customWidth="1"/>
    <col min="5" max="5" width="18" customWidth="1"/>
    <col min="6" max="6" width="42" customWidth="1"/>
  </cols>
  <sheetData>
    <row r="1" spans="1:6" ht="21.9" customHeight="1" x14ac:dyDescent="0.3">
      <c r="A1" s="9" t="s">
        <v>0</v>
      </c>
      <c r="B1" s="9" t="s">
        <v>1</v>
      </c>
      <c r="C1" s="9" t="s">
        <v>2</v>
      </c>
      <c r="E1" s="9" t="s">
        <v>3</v>
      </c>
      <c r="F1" s="9" t="s">
        <v>2</v>
      </c>
    </row>
    <row r="2" spans="1:6" ht="30.75" customHeight="1" x14ac:dyDescent="0.3">
      <c r="A2" s="10" t="s">
        <v>4</v>
      </c>
      <c r="B2" s="10">
        <v>20</v>
      </c>
      <c r="C2" s="10" t="s">
        <v>5</v>
      </c>
      <c r="E2" s="10" t="s">
        <v>6</v>
      </c>
      <c r="F2" s="10" t="s">
        <v>7</v>
      </c>
    </row>
    <row r="3" spans="1:6" ht="30.75" customHeight="1" x14ac:dyDescent="0.3">
      <c r="A3" s="10" t="s">
        <v>8</v>
      </c>
      <c r="B3" s="17">
        <v>46203</v>
      </c>
      <c r="C3" s="10" t="s">
        <v>9</v>
      </c>
      <c r="E3" s="10" t="s">
        <v>10</v>
      </c>
      <c r="F3" s="10" t="s">
        <v>11</v>
      </c>
    </row>
    <row r="4" spans="1:6" ht="28.8" x14ac:dyDescent="0.3">
      <c r="A4" s="10" t="s">
        <v>12</v>
      </c>
      <c r="B4" s="10" t="s">
        <v>13</v>
      </c>
      <c r="C4" s="10" t="s">
        <v>14</v>
      </c>
      <c r="E4" s="10" t="s">
        <v>15</v>
      </c>
      <c r="F4" s="10" t="s">
        <v>16</v>
      </c>
    </row>
    <row r="5" spans="1:6" ht="28.8" x14ac:dyDescent="0.3">
      <c r="E5" s="10" t="s">
        <v>17</v>
      </c>
      <c r="F5" s="10" t="s">
        <v>18</v>
      </c>
    </row>
    <row r="6" spans="1:6" ht="28.8" x14ac:dyDescent="0.3">
      <c r="A6" s="10" t="s">
        <v>19</v>
      </c>
      <c r="B6" s="10" t="s">
        <v>20</v>
      </c>
      <c r="C6" s="10" t="s">
        <v>21</v>
      </c>
      <c r="E6" s="10" t="s">
        <v>22</v>
      </c>
      <c r="F6" s="10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8104-0F4D-44F1-8909-097ADC2252C6}">
  <dimension ref="A1:B1"/>
  <sheetViews>
    <sheetView tabSelected="1" workbookViewId="0">
      <selection activeCell="J24" sqref="J24"/>
    </sheetView>
  </sheetViews>
  <sheetFormatPr defaultRowHeight="14.4" x14ac:dyDescent="0.3"/>
  <sheetData>
    <row r="1" spans="1:2" x14ac:dyDescent="0.3">
      <c r="A1" t="s">
        <v>191</v>
      </c>
      <c r="B1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9"/>
  <sheetViews>
    <sheetView workbookViewId="0"/>
  </sheetViews>
  <sheetFormatPr defaultRowHeight="14.4" x14ac:dyDescent="0.3"/>
  <cols>
    <col min="1" max="1" width="110" customWidth="1"/>
  </cols>
  <sheetData>
    <row r="1" spans="1:1" ht="18" customHeight="1" x14ac:dyDescent="0.3">
      <c r="A1" s="23" t="s">
        <v>24</v>
      </c>
    </row>
    <row r="2" spans="1:1" ht="18" customHeight="1" x14ac:dyDescent="0.3">
      <c r="A2" s="24" t="s">
        <v>25</v>
      </c>
    </row>
    <row r="3" spans="1:1" ht="18" customHeight="1" x14ac:dyDescent="0.3">
      <c r="A3" s="19"/>
    </row>
    <row r="4" spans="1:1" ht="18" customHeight="1" x14ac:dyDescent="0.3">
      <c r="A4" s="2" t="s">
        <v>26</v>
      </c>
    </row>
    <row r="5" spans="1:1" ht="18" customHeight="1" x14ac:dyDescent="0.3">
      <c r="A5" s="2" t="s">
        <v>27</v>
      </c>
    </row>
    <row r="6" spans="1:1" ht="18" customHeight="1" x14ac:dyDescent="0.3">
      <c r="A6" s="2"/>
    </row>
    <row r="7" spans="1:1" ht="18" customHeight="1" x14ac:dyDescent="0.3">
      <c r="A7" s="2" t="s">
        <v>28</v>
      </c>
    </row>
    <row r="8" spans="1:1" ht="18" customHeight="1" x14ac:dyDescent="0.3">
      <c r="A8" s="2" t="s">
        <v>29</v>
      </c>
    </row>
    <row r="9" spans="1:1" ht="18" customHeight="1" x14ac:dyDescent="0.3">
      <c r="A9" s="2" t="s">
        <v>30</v>
      </c>
    </row>
    <row r="10" spans="1:1" ht="18" customHeight="1" x14ac:dyDescent="0.3">
      <c r="A10" s="3" t="s">
        <v>31</v>
      </c>
    </row>
    <row r="11" spans="1:1" ht="18" customHeight="1" x14ac:dyDescent="0.3">
      <c r="A11" s="2"/>
    </row>
    <row r="12" spans="1:1" ht="18" customHeight="1" x14ac:dyDescent="0.3">
      <c r="A12" s="2" t="s">
        <v>32</v>
      </c>
    </row>
    <row r="13" spans="1:1" ht="18" customHeight="1" x14ac:dyDescent="0.3">
      <c r="A13" s="2" t="s">
        <v>33</v>
      </c>
    </row>
    <row r="14" spans="1:1" ht="18" customHeight="1" x14ac:dyDescent="0.3">
      <c r="A14" s="2" t="s">
        <v>34</v>
      </c>
    </row>
    <row r="15" spans="1:1" ht="18" customHeight="1" x14ac:dyDescent="0.3">
      <c r="A15" s="2" t="s">
        <v>35</v>
      </c>
    </row>
    <row r="16" spans="1:1" ht="18" customHeight="1" x14ac:dyDescent="0.3">
      <c r="A16" s="2" t="s">
        <v>36</v>
      </c>
    </row>
    <row r="17" spans="1:1" ht="18" customHeight="1" x14ac:dyDescent="0.3">
      <c r="A17" s="2"/>
    </row>
    <row r="18" spans="1:1" ht="18" customHeight="1" x14ac:dyDescent="0.3">
      <c r="A18" s="2" t="s">
        <v>37</v>
      </c>
    </row>
    <row r="19" spans="1:1" ht="18" customHeight="1" x14ac:dyDescent="0.3">
      <c r="A19" s="2" t="s">
        <v>38</v>
      </c>
    </row>
    <row r="20" spans="1:1" ht="18" customHeight="1" x14ac:dyDescent="0.3">
      <c r="A20" s="19" t="s">
        <v>39</v>
      </c>
    </row>
    <row r="21" spans="1:1" x14ac:dyDescent="0.3">
      <c r="A21" s="25" t="s">
        <v>40</v>
      </c>
    </row>
    <row r="22" spans="1:1" x14ac:dyDescent="0.3">
      <c r="A22" s="25" t="s">
        <v>41</v>
      </c>
    </row>
    <row r="23" spans="1:1" x14ac:dyDescent="0.3">
      <c r="A23" s="25" t="s">
        <v>42</v>
      </c>
    </row>
    <row r="24" spans="1:1" x14ac:dyDescent="0.3">
      <c r="A24" s="2" t="s">
        <v>43</v>
      </c>
    </row>
    <row r="25" spans="1:1" x14ac:dyDescent="0.3">
      <c r="A25" s="19"/>
    </row>
    <row r="26" spans="1:1" x14ac:dyDescent="0.3">
      <c r="A26" s="2" t="s">
        <v>44</v>
      </c>
    </row>
    <row r="27" spans="1:1" x14ac:dyDescent="0.3">
      <c r="A27" s="2" t="s">
        <v>45</v>
      </c>
    </row>
    <row r="28" spans="1:1" x14ac:dyDescent="0.3">
      <c r="A28" s="2" t="s">
        <v>46</v>
      </c>
    </row>
    <row r="29" spans="1:1" x14ac:dyDescent="0.3">
      <c r="A29" s="2"/>
    </row>
    <row r="30" spans="1:1" x14ac:dyDescent="0.3">
      <c r="A30" s="2" t="s">
        <v>47</v>
      </c>
    </row>
    <row r="31" spans="1:1" ht="28.8" x14ac:dyDescent="0.3">
      <c r="A31" s="19" t="s">
        <v>48</v>
      </c>
    </row>
    <row r="32" spans="1:1" x14ac:dyDescent="0.3">
      <c r="A32" s="2" t="s">
        <v>49</v>
      </c>
    </row>
    <row r="33" spans="1:1" x14ac:dyDescent="0.3">
      <c r="A33" s="2" t="s">
        <v>50</v>
      </c>
    </row>
    <row r="34" spans="1:1" x14ac:dyDescent="0.3">
      <c r="A34" s="2" t="s">
        <v>51</v>
      </c>
    </row>
    <row r="35" spans="1:1" x14ac:dyDescent="0.3">
      <c r="A35" s="2"/>
    </row>
    <row r="36" spans="1:1" x14ac:dyDescent="0.3">
      <c r="A36" s="19" t="s">
        <v>52</v>
      </c>
    </row>
    <row r="37" spans="1:1" x14ac:dyDescent="0.3">
      <c r="A37" s="2" t="s">
        <v>53</v>
      </c>
    </row>
    <row r="38" spans="1:1" x14ac:dyDescent="0.3">
      <c r="A38" s="2" t="s">
        <v>54</v>
      </c>
    </row>
    <row r="39" spans="1:1" x14ac:dyDescent="0.3">
      <c r="A39" s="2"/>
    </row>
    <row r="40" spans="1:1" x14ac:dyDescent="0.3">
      <c r="A40" s="19" t="s">
        <v>55</v>
      </c>
    </row>
    <row r="41" spans="1:1" ht="28.8" x14ac:dyDescent="0.3">
      <c r="A41" s="2" t="s">
        <v>56</v>
      </c>
    </row>
    <row r="45" spans="1:1" x14ac:dyDescent="0.3">
      <c r="A45" s="11"/>
    </row>
    <row r="46" spans="1:1" x14ac:dyDescent="0.3">
      <c r="A46" s="12"/>
    </row>
    <row r="47" spans="1:1" x14ac:dyDescent="0.3">
      <c r="A47" s="12"/>
    </row>
    <row r="48" spans="1:1" x14ac:dyDescent="0.3">
      <c r="A48" s="12"/>
    </row>
    <row r="49" spans="1:1" x14ac:dyDescent="0.3">
      <c r="A49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6" customWidth="1"/>
    <col min="2" max="2" width="24" customWidth="1"/>
    <col min="3" max="4" width="16" customWidth="1"/>
    <col min="5" max="6" width="12" customWidth="1"/>
    <col min="7" max="7" width="18" customWidth="1"/>
    <col min="8" max="8" width="20" customWidth="1"/>
    <col min="9" max="9" width="25.44140625" customWidth="1"/>
  </cols>
  <sheetData>
    <row r="1" spans="1:9" ht="21.9" customHeight="1" x14ac:dyDescent="0.3">
      <c r="A1" s="9" t="s">
        <v>57</v>
      </c>
      <c r="B1" s="9" t="s">
        <v>58</v>
      </c>
      <c r="C1" s="9" t="s">
        <v>59</v>
      </c>
      <c r="D1" s="9" t="s">
        <v>60</v>
      </c>
      <c r="E1" s="9" t="s">
        <v>61</v>
      </c>
      <c r="F1" s="27" t="s">
        <v>187</v>
      </c>
      <c r="G1" s="9" t="s">
        <v>62</v>
      </c>
      <c r="H1" s="9" t="s">
        <v>63</v>
      </c>
      <c r="I1" s="28" t="s">
        <v>190</v>
      </c>
    </row>
    <row r="2" spans="1:9" x14ac:dyDescent="0.3">
      <c r="A2" s="5">
        <v>1</v>
      </c>
      <c r="B2" s="5" t="s">
        <v>64</v>
      </c>
      <c r="C2" s="5" t="s">
        <v>65</v>
      </c>
      <c r="D2" s="6">
        <v>44621</v>
      </c>
      <c r="E2" s="5" t="s">
        <v>66</v>
      </c>
      <c r="F2" s="2">
        <f>IF($E2="Aktivan",1,0)</f>
        <v>1</v>
      </c>
      <c r="G2">
        <v>18</v>
      </c>
      <c r="H2">
        <v>20</v>
      </c>
      <c r="I2" t="str" cm="1">
        <f t="array" ref="I2:I18">_xlfn._xlws.SORT(_xlfn._xlws.FILTER(Zaposleni!$B$2:$B$200, Zaposleni!$E$2:$E$200="Aktivan"))</f>
        <v>Aleksandar Janković</v>
      </c>
    </row>
    <row r="3" spans="1:9" x14ac:dyDescent="0.3">
      <c r="A3" s="5">
        <v>2</v>
      </c>
      <c r="B3" s="5" t="s">
        <v>67</v>
      </c>
      <c r="C3" s="5" t="s">
        <v>68</v>
      </c>
      <c r="D3" s="6">
        <v>44362</v>
      </c>
      <c r="E3" s="5" t="s">
        <v>66</v>
      </c>
      <c r="F3" s="2">
        <f t="shared" ref="F3:F24" si="0">IF($E3="Aktivan",1,0)</f>
        <v>1</v>
      </c>
      <c r="G3">
        <v>13</v>
      </c>
      <c r="H3">
        <v>20</v>
      </c>
      <c r="I3" t="str">
        <v>Dejan Đorić</v>
      </c>
    </row>
    <row r="4" spans="1:9" x14ac:dyDescent="0.3">
      <c r="A4" s="5">
        <v>3</v>
      </c>
      <c r="B4" s="5" t="s">
        <v>69</v>
      </c>
      <c r="C4" s="5" t="s">
        <v>68</v>
      </c>
      <c r="D4" s="6">
        <v>44109</v>
      </c>
      <c r="E4" s="5" t="s">
        <v>66</v>
      </c>
      <c r="F4" s="2">
        <f t="shared" si="0"/>
        <v>1</v>
      </c>
      <c r="G4">
        <v>15</v>
      </c>
      <c r="H4">
        <v>20</v>
      </c>
      <c r="I4" t="str">
        <v>Dragan Babić</v>
      </c>
    </row>
    <row r="5" spans="1:9" x14ac:dyDescent="0.3">
      <c r="A5" s="5">
        <v>4</v>
      </c>
      <c r="B5" s="5" t="s">
        <v>70</v>
      </c>
      <c r="C5" s="5" t="s">
        <v>71</v>
      </c>
      <c r="D5" s="6">
        <v>44936</v>
      </c>
      <c r="E5" s="5" t="s">
        <v>66</v>
      </c>
      <c r="F5" s="2">
        <f t="shared" si="0"/>
        <v>1</v>
      </c>
      <c r="G5">
        <v>13</v>
      </c>
      <c r="H5">
        <v>20</v>
      </c>
      <c r="I5" t="str">
        <v>Ivana Rosić</v>
      </c>
    </row>
    <row r="6" spans="1:9" x14ac:dyDescent="0.3">
      <c r="A6" s="5">
        <v>5</v>
      </c>
      <c r="B6" s="5" t="s">
        <v>72</v>
      </c>
      <c r="C6" s="5" t="s">
        <v>68</v>
      </c>
      <c r="D6" s="6">
        <v>43710</v>
      </c>
      <c r="E6" s="5" t="s">
        <v>66</v>
      </c>
      <c r="F6" s="2">
        <f t="shared" si="0"/>
        <v>1</v>
      </c>
      <c r="G6">
        <v>16</v>
      </c>
      <c r="H6">
        <v>20</v>
      </c>
      <c r="I6" t="str">
        <v>Luka Kostov Drndarski</v>
      </c>
    </row>
    <row r="7" spans="1:9" x14ac:dyDescent="0.3">
      <c r="A7" s="5">
        <v>6</v>
      </c>
      <c r="B7" s="5" t="s">
        <v>73</v>
      </c>
      <c r="C7" s="5" t="s">
        <v>65</v>
      </c>
      <c r="D7" s="6">
        <v>44872</v>
      </c>
      <c r="E7" s="5" t="s">
        <v>66</v>
      </c>
      <c r="F7" s="2">
        <f t="shared" si="0"/>
        <v>1</v>
      </c>
      <c r="G7">
        <v>14</v>
      </c>
      <c r="H7">
        <v>20</v>
      </c>
      <c r="I7" t="str">
        <v>Luka Pandurov</v>
      </c>
    </row>
    <row r="8" spans="1:9" x14ac:dyDescent="0.3">
      <c r="A8" s="5">
        <v>7</v>
      </c>
      <c r="B8" s="5" t="s">
        <v>74</v>
      </c>
      <c r="C8" s="5" t="s">
        <v>71</v>
      </c>
      <c r="D8" s="6">
        <v>45323</v>
      </c>
      <c r="E8" s="5" t="s">
        <v>66</v>
      </c>
      <c r="F8" s="2">
        <f t="shared" si="0"/>
        <v>1</v>
      </c>
      <c r="G8">
        <v>6</v>
      </c>
      <c r="H8">
        <v>20</v>
      </c>
      <c r="I8" t="str">
        <v>Maja Petrović</v>
      </c>
    </row>
    <row r="9" spans="1:9" x14ac:dyDescent="0.3">
      <c r="A9" s="5">
        <v>8</v>
      </c>
      <c r="B9" s="5" t="s">
        <v>75</v>
      </c>
      <c r="C9" s="5" t="s">
        <v>76</v>
      </c>
      <c r="D9" s="6">
        <v>43941</v>
      </c>
      <c r="E9" s="5" t="s">
        <v>66</v>
      </c>
      <c r="F9" s="2">
        <f t="shared" si="0"/>
        <v>1</v>
      </c>
      <c r="G9">
        <v>7</v>
      </c>
      <c r="H9">
        <v>20</v>
      </c>
      <c r="I9" t="str">
        <v>Mihailo Savić</v>
      </c>
    </row>
    <row r="10" spans="1:9" x14ac:dyDescent="0.3">
      <c r="A10" s="5">
        <v>9</v>
      </c>
      <c r="B10" s="5" t="s">
        <v>77</v>
      </c>
      <c r="C10" s="5" t="s">
        <v>65</v>
      </c>
      <c r="D10" s="6">
        <v>43297</v>
      </c>
      <c r="E10" s="5" t="s">
        <v>66</v>
      </c>
      <c r="F10" s="2">
        <f t="shared" si="0"/>
        <v>1</v>
      </c>
      <c r="G10">
        <v>16</v>
      </c>
      <c r="H10">
        <v>20</v>
      </c>
      <c r="I10" t="str">
        <v>Milica Milisavljević</v>
      </c>
    </row>
    <row r="11" spans="1:9" x14ac:dyDescent="0.3">
      <c r="A11" s="5">
        <v>10</v>
      </c>
      <c r="B11" s="5" t="s">
        <v>78</v>
      </c>
      <c r="C11" s="5" t="s">
        <v>79</v>
      </c>
      <c r="D11" s="6">
        <v>44221</v>
      </c>
      <c r="E11" s="5" t="s">
        <v>66</v>
      </c>
      <c r="F11" s="2">
        <f t="shared" si="0"/>
        <v>1</v>
      </c>
      <c r="G11">
        <v>16</v>
      </c>
      <c r="H11">
        <v>20</v>
      </c>
      <c r="I11" t="str">
        <v>Mina Simonović</v>
      </c>
    </row>
    <row r="12" spans="1:9" x14ac:dyDescent="0.3">
      <c r="A12" s="5">
        <v>11</v>
      </c>
      <c r="B12" s="5" t="s">
        <v>80</v>
      </c>
      <c r="C12" s="5" t="s">
        <v>68</v>
      </c>
      <c r="D12" s="6">
        <v>42863</v>
      </c>
      <c r="E12" s="5" t="s">
        <v>66</v>
      </c>
      <c r="F12" s="2">
        <f t="shared" si="0"/>
        <v>1</v>
      </c>
      <c r="G12">
        <v>10</v>
      </c>
      <c r="H12">
        <v>20</v>
      </c>
      <c r="I12" t="str">
        <v>Nikola Lazarević</v>
      </c>
    </row>
    <row r="13" spans="1:9" x14ac:dyDescent="0.3">
      <c r="A13" s="5">
        <v>12</v>
      </c>
      <c r="B13" s="5" t="s">
        <v>81</v>
      </c>
      <c r="C13" s="5" t="s">
        <v>68</v>
      </c>
      <c r="D13" s="6">
        <v>43510</v>
      </c>
      <c r="E13" s="5" t="s">
        <v>66</v>
      </c>
      <c r="F13" s="2">
        <f t="shared" si="0"/>
        <v>1</v>
      </c>
      <c r="G13">
        <v>14</v>
      </c>
      <c r="H13">
        <v>20</v>
      </c>
      <c r="I13" t="str">
        <v>Olga Jovanović</v>
      </c>
    </row>
    <row r="14" spans="1:9" x14ac:dyDescent="0.3">
      <c r="A14" s="5">
        <v>13</v>
      </c>
      <c r="B14" s="5" t="s">
        <v>82</v>
      </c>
      <c r="C14" s="5" t="s">
        <v>65</v>
      </c>
      <c r="D14" s="6">
        <v>45173</v>
      </c>
      <c r="E14" s="5" t="s">
        <v>66</v>
      </c>
      <c r="F14" s="2">
        <f t="shared" si="0"/>
        <v>1</v>
      </c>
      <c r="G14">
        <v>5</v>
      </c>
      <c r="H14">
        <v>20</v>
      </c>
      <c r="I14" t="str">
        <v>Ružica Pantović</v>
      </c>
    </row>
    <row r="15" spans="1:9" x14ac:dyDescent="0.3">
      <c r="A15" s="5">
        <v>14</v>
      </c>
      <c r="B15" s="5" t="s">
        <v>83</v>
      </c>
      <c r="C15" s="5" t="s">
        <v>68</v>
      </c>
      <c r="D15" s="6">
        <v>45663</v>
      </c>
      <c r="E15" s="5" t="s">
        <v>66</v>
      </c>
      <c r="F15" s="2">
        <f t="shared" si="0"/>
        <v>1</v>
      </c>
      <c r="G15">
        <v>10</v>
      </c>
      <c r="H15">
        <v>20</v>
      </c>
      <c r="I15" t="str">
        <v>Slavko Marjanović</v>
      </c>
    </row>
    <row r="16" spans="1:9" x14ac:dyDescent="0.3">
      <c r="A16" s="5">
        <v>15</v>
      </c>
      <c r="B16" s="5" t="s">
        <v>84</v>
      </c>
      <c r="C16" s="5" t="s">
        <v>85</v>
      </c>
      <c r="D16" s="6">
        <v>45663</v>
      </c>
      <c r="E16" s="5" t="s">
        <v>66</v>
      </c>
      <c r="F16" s="2">
        <f t="shared" si="0"/>
        <v>1</v>
      </c>
      <c r="G16">
        <v>4</v>
      </c>
      <c r="H16">
        <v>20</v>
      </c>
      <c r="I16" t="str">
        <v>Stefan Josimov</v>
      </c>
    </row>
    <row r="17" spans="1:9" x14ac:dyDescent="0.3">
      <c r="A17" s="5">
        <v>16</v>
      </c>
      <c r="B17" s="5" t="s">
        <v>86</v>
      </c>
      <c r="C17" s="5" t="s">
        <v>87</v>
      </c>
      <c r="D17" s="6">
        <v>44791</v>
      </c>
      <c r="E17" s="5" t="s">
        <v>66</v>
      </c>
      <c r="F17" s="2">
        <f t="shared" si="0"/>
        <v>1</v>
      </c>
      <c r="G17">
        <v>2</v>
      </c>
      <c r="H17">
        <v>20</v>
      </c>
      <c r="I17" t="str">
        <v>Stevo Ljubičić</v>
      </c>
    </row>
    <row r="18" spans="1:9" x14ac:dyDescent="0.3">
      <c r="A18" s="5">
        <v>17</v>
      </c>
      <c r="B18" s="5" t="s">
        <v>188</v>
      </c>
      <c r="C18" s="5" t="s">
        <v>189</v>
      </c>
      <c r="D18" s="6"/>
      <c r="E18" s="5" t="s">
        <v>66</v>
      </c>
      <c r="F18" s="2">
        <f t="shared" si="0"/>
        <v>1</v>
      </c>
      <c r="G18">
        <v>10</v>
      </c>
      <c r="H18">
        <v>20</v>
      </c>
      <c r="I18" t="str">
        <v>Uroš Velinovski</v>
      </c>
    </row>
    <row r="19" spans="1:9" x14ac:dyDescent="0.3">
      <c r="A19" s="5"/>
      <c r="B19" s="5"/>
      <c r="C19" s="5"/>
      <c r="D19" s="6"/>
      <c r="E19" s="5"/>
      <c r="F19" s="2">
        <f t="shared" si="0"/>
        <v>0</v>
      </c>
    </row>
    <row r="20" spans="1:9" x14ac:dyDescent="0.3">
      <c r="A20" s="5"/>
      <c r="B20" s="5"/>
      <c r="C20" s="5"/>
      <c r="D20" s="6"/>
      <c r="E20" s="5"/>
      <c r="F20" s="2">
        <f t="shared" si="0"/>
        <v>0</v>
      </c>
    </row>
    <row r="21" spans="1:9" x14ac:dyDescent="0.3">
      <c r="A21" s="5"/>
      <c r="B21" s="5"/>
      <c r="C21" s="5"/>
      <c r="D21" s="6"/>
      <c r="E21" s="5"/>
      <c r="F21" s="2">
        <f t="shared" si="0"/>
        <v>0</v>
      </c>
    </row>
    <row r="22" spans="1:9" x14ac:dyDescent="0.3">
      <c r="F22" s="2">
        <f t="shared" si="0"/>
        <v>0</v>
      </c>
    </row>
    <row r="23" spans="1:9" x14ac:dyDescent="0.3">
      <c r="F23" s="2">
        <f t="shared" si="0"/>
        <v>0</v>
      </c>
    </row>
    <row r="24" spans="1:9" x14ac:dyDescent="0.3">
      <c r="F24" s="2">
        <f t="shared" si="0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10" customWidth="1"/>
    <col min="2" max="2" width="26" customWidth="1"/>
    <col min="3" max="3" width="48" customWidth="1"/>
    <col min="4" max="4" width="18" customWidth="1"/>
  </cols>
  <sheetData>
    <row r="1" spans="1:4" ht="24" customHeight="1" x14ac:dyDescent="0.3">
      <c r="A1" s="9" t="s">
        <v>88</v>
      </c>
      <c r="B1" s="9" t="s">
        <v>89</v>
      </c>
      <c r="C1" s="9" t="s">
        <v>2</v>
      </c>
      <c r="D1" s="9" t="s">
        <v>90</v>
      </c>
    </row>
    <row r="2" spans="1:4" x14ac:dyDescent="0.3">
      <c r="A2" s="10" t="s">
        <v>91</v>
      </c>
      <c r="B2" s="10" t="s">
        <v>92</v>
      </c>
      <c r="C2" s="10" t="s">
        <v>93</v>
      </c>
      <c r="D2" s="10" t="s">
        <v>94</v>
      </c>
    </row>
    <row r="3" spans="1:4" x14ac:dyDescent="0.3">
      <c r="A3" s="10" t="s">
        <v>13</v>
      </c>
      <c r="B3" s="10" t="s">
        <v>95</v>
      </c>
      <c r="C3" s="10" t="s">
        <v>96</v>
      </c>
      <c r="D3" s="10" t="s">
        <v>97</v>
      </c>
    </row>
    <row r="4" spans="1:4" x14ac:dyDescent="0.3">
      <c r="A4" s="10" t="s">
        <v>98</v>
      </c>
      <c r="B4" s="10" t="s">
        <v>99</v>
      </c>
      <c r="C4" s="10" t="s">
        <v>100</v>
      </c>
      <c r="D4" s="10" t="s">
        <v>101</v>
      </c>
    </row>
    <row r="5" spans="1:4" x14ac:dyDescent="0.3">
      <c r="A5" s="10" t="s">
        <v>102</v>
      </c>
      <c r="B5" s="10" t="s">
        <v>103</v>
      </c>
      <c r="C5" s="10" t="s">
        <v>104</v>
      </c>
      <c r="D5" s="10" t="s">
        <v>101</v>
      </c>
    </row>
    <row r="6" spans="1:4" x14ac:dyDescent="0.3">
      <c r="A6" s="10" t="s">
        <v>105</v>
      </c>
      <c r="B6" s="10" t="s">
        <v>106</v>
      </c>
      <c r="C6" s="10" t="s">
        <v>107</v>
      </c>
      <c r="D6" s="10" t="s">
        <v>101</v>
      </c>
    </row>
    <row r="7" spans="1:4" x14ac:dyDescent="0.3">
      <c r="A7" s="10" t="s">
        <v>108</v>
      </c>
      <c r="B7" s="10" t="s">
        <v>109</v>
      </c>
      <c r="C7" s="10" t="s">
        <v>110</v>
      </c>
      <c r="D7" s="10" t="s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workbookViewId="0"/>
  </sheetViews>
  <sheetFormatPr defaultRowHeight="14.4" x14ac:dyDescent="0.3"/>
  <cols>
    <col min="1" max="1" width="14" customWidth="1"/>
    <col min="2" max="2" width="35" customWidth="1"/>
  </cols>
  <sheetData>
    <row r="1" spans="1:2" x14ac:dyDescent="0.3">
      <c r="A1" s="4" t="s">
        <v>111</v>
      </c>
      <c r="B1" s="4" t="s">
        <v>112</v>
      </c>
    </row>
    <row r="2" spans="1:2" x14ac:dyDescent="0.3">
      <c r="A2" s="8">
        <v>46023</v>
      </c>
      <c r="B2" t="s">
        <v>113</v>
      </c>
    </row>
    <row r="3" spans="1:2" x14ac:dyDescent="0.3">
      <c r="A3" s="8">
        <v>46024</v>
      </c>
      <c r="B3" t="s">
        <v>113</v>
      </c>
    </row>
    <row r="4" spans="1:2" x14ac:dyDescent="0.3">
      <c r="A4" s="8">
        <v>46029</v>
      </c>
      <c r="B4" t="s">
        <v>114</v>
      </c>
    </row>
    <row r="5" spans="1:2" x14ac:dyDescent="0.3">
      <c r="A5" s="8">
        <v>46068</v>
      </c>
      <c r="B5" t="s">
        <v>115</v>
      </c>
    </row>
    <row r="6" spans="1:2" x14ac:dyDescent="0.3">
      <c r="A6" s="8">
        <v>46069</v>
      </c>
      <c r="B6" t="s">
        <v>115</v>
      </c>
    </row>
    <row r="7" spans="1:2" x14ac:dyDescent="0.3">
      <c r="A7" s="8">
        <v>46070</v>
      </c>
      <c r="B7" t="s">
        <v>115</v>
      </c>
    </row>
    <row r="8" spans="1:2" x14ac:dyDescent="0.3">
      <c r="A8" s="8">
        <v>46122</v>
      </c>
      <c r="B8" t="s">
        <v>116</v>
      </c>
    </row>
    <row r="9" spans="1:2" x14ac:dyDescent="0.3">
      <c r="A9" s="8">
        <v>46123</v>
      </c>
      <c r="B9" t="s">
        <v>116</v>
      </c>
    </row>
    <row r="10" spans="1:2" x14ac:dyDescent="0.3">
      <c r="A10" s="8">
        <v>46124</v>
      </c>
      <c r="B10" t="s">
        <v>116</v>
      </c>
    </row>
    <row r="11" spans="1:2" x14ac:dyDescent="0.3">
      <c r="A11" s="8">
        <v>46125</v>
      </c>
      <c r="B11" t="s">
        <v>116</v>
      </c>
    </row>
    <row r="12" spans="1:2" x14ac:dyDescent="0.3">
      <c r="A12" s="8">
        <v>46143</v>
      </c>
      <c r="B12" t="s">
        <v>117</v>
      </c>
    </row>
    <row r="13" spans="1:2" x14ac:dyDescent="0.3">
      <c r="A13" s="8">
        <v>46144</v>
      </c>
      <c r="B13" t="s">
        <v>117</v>
      </c>
    </row>
    <row r="14" spans="1:2" x14ac:dyDescent="0.3">
      <c r="A14" s="8">
        <v>46337</v>
      </c>
      <c r="B14" t="s">
        <v>118</v>
      </c>
    </row>
    <row r="15" spans="1:2" x14ac:dyDescent="0.3">
      <c r="A15" s="8"/>
    </row>
    <row r="16" spans="1:2" x14ac:dyDescent="0.3">
      <c r="A16" s="8"/>
    </row>
    <row r="17" spans="1:1" x14ac:dyDescent="0.3">
      <c r="A17" s="8"/>
    </row>
    <row r="18" spans="1:1" x14ac:dyDescent="0.3">
      <c r="A18" s="8"/>
    </row>
    <row r="19" spans="1:1" x14ac:dyDescent="0.3">
      <c r="A19" s="8"/>
    </row>
    <row r="20" spans="1:1" x14ac:dyDescent="0.3">
      <c r="A20" s="8"/>
    </row>
    <row r="21" spans="1:1" x14ac:dyDescent="0.3">
      <c r="A21" s="8"/>
    </row>
    <row r="22" spans="1:1" x14ac:dyDescent="0.3">
      <c r="A22" s="8"/>
    </row>
    <row r="23" spans="1:1" x14ac:dyDescent="0.3">
      <c r="A23" s="8"/>
    </row>
    <row r="24" spans="1:1" x14ac:dyDescent="0.3">
      <c r="A24" s="8"/>
    </row>
    <row r="25" spans="1:1" x14ac:dyDescent="0.3">
      <c r="A25" s="8"/>
    </row>
    <row r="26" spans="1:1" x14ac:dyDescent="0.3">
      <c r="A26" s="8"/>
    </row>
    <row r="27" spans="1:1" x14ac:dyDescent="0.3">
      <c r="A27" s="8"/>
    </row>
    <row r="28" spans="1:1" x14ac:dyDescent="0.3">
      <c r="A28" s="8"/>
    </row>
    <row r="29" spans="1:1" x14ac:dyDescent="0.3">
      <c r="A29" s="8"/>
    </row>
    <row r="30" spans="1:1" x14ac:dyDescent="0.3">
      <c r="A30" s="8"/>
    </row>
    <row r="31" spans="1:1" x14ac:dyDescent="0.3">
      <c r="A31" s="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01"/>
  <sheetViews>
    <sheetView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6" customWidth="1"/>
    <col min="2" max="2" width="24" customWidth="1"/>
    <col min="3" max="3" width="10" customWidth="1"/>
    <col min="4" max="6" width="14" customWidth="1"/>
    <col min="7" max="8" width="8" customWidth="1"/>
    <col min="9" max="9" width="36" customWidth="1"/>
    <col min="10" max="10" width="16" customWidth="1"/>
    <col min="11" max="11" width="14" customWidth="1"/>
    <col min="12" max="12" width="28" customWidth="1"/>
    <col min="13" max="13" width="14" customWidth="1"/>
    <col min="14" max="14" width="18" customWidth="1"/>
    <col min="15" max="15" width="34" customWidth="1"/>
  </cols>
  <sheetData>
    <row r="1" spans="1:15" ht="21.9" customHeight="1" x14ac:dyDescent="0.3">
      <c r="A1" s="9" t="s">
        <v>57</v>
      </c>
      <c r="B1" s="9" t="s">
        <v>119</v>
      </c>
      <c r="C1" s="9" t="s">
        <v>120</v>
      </c>
      <c r="D1" s="9" t="s">
        <v>121</v>
      </c>
      <c r="E1" s="9" t="s">
        <v>122</v>
      </c>
      <c r="F1" s="9" t="s">
        <v>123</v>
      </c>
      <c r="G1" s="9" t="s">
        <v>124</v>
      </c>
      <c r="H1" s="9" t="s">
        <v>125</v>
      </c>
      <c r="I1" s="9" t="s">
        <v>126</v>
      </c>
      <c r="J1" s="9" t="s">
        <v>61</v>
      </c>
      <c r="K1" s="9" t="s">
        <v>127</v>
      </c>
      <c r="L1" s="9" t="s">
        <v>128</v>
      </c>
      <c r="M1" s="9" t="s">
        <v>129</v>
      </c>
      <c r="N1" s="9" t="s">
        <v>130</v>
      </c>
      <c r="O1" s="9" t="s">
        <v>131</v>
      </c>
    </row>
    <row r="2" spans="1:15" x14ac:dyDescent="0.3">
      <c r="A2" s="5">
        <f>ROW() - ROW(tblOdsustva[[#Headers],[ID]])</f>
        <v>1</v>
      </c>
      <c r="B2" s="5" t="s">
        <v>81</v>
      </c>
      <c r="C2" s="5" t="s">
        <v>102</v>
      </c>
      <c r="D2" s="6">
        <v>46035</v>
      </c>
      <c r="E2" s="6">
        <v>46035</v>
      </c>
      <c r="F2" s="7">
        <f>IF(AND(D2&lt;&gt;"",E2&lt;&gt;""),NETWORKDAYS.INTL(D2,E2,1,Praznici!$A$2:$A$200),"")</f>
        <v>1</v>
      </c>
      <c r="G2" s="7">
        <f t="shared" ref="G2:G48" si="0">IF(D2&lt;&gt;"",YEAR(D2),"")</f>
        <v>2026</v>
      </c>
      <c r="H2" s="7">
        <f t="shared" ref="H2:H33" si="1">IF(D2&lt;&gt;"",MONTH(D2),"")</f>
        <v>1</v>
      </c>
      <c r="I2" s="5" t="s">
        <v>132</v>
      </c>
      <c r="J2" t="s">
        <v>17</v>
      </c>
      <c r="K2" s="15" t="s">
        <v>97</v>
      </c>
      <c r="L2" t="s">
        <v>133</v>
      </c>
      <c r="M2" t="s">
        <v>134</v>
      </c>
      <c r="N2" t="s">
        <v>135</v>
      </c>
    </row>
    <row r="3" spans="1:15" x14ac:dyDescent="0.3">
      <c r="A3" s="5">
        <f>ROW() - ROW(tblOdsustva[[#Headers],[ID]])</f>
        <v>2</v>
      </c>
      <c r="B3" s="5" t="s">
        <v>81</v>
      </c>
      <c r="C3" s="5" t="s">
        <v>102</v>
      </c>
      <c r="D3" s="6">
        <v>46037</v>
      </c>
      <c r="E3" s="6">
        <v>46037</v>
      </c>
      <c r="F3" s="7">
        <f>IF(AND(D3&lt;&gt;"",E3&lt;&gt;""),NETWORKDAYS.INTL(D3,E3,1,Praznici!$A$2:$A$200),"")</f>
        <v>1</v>
      </c>
      <c r="G3" s="7">
        <f t="shared" si="0"/>
        <v>2026</v>
      </c>
      <c r="H3" s="7">
        <f t="shared" si="1"/>
        <v>1</v>
      </c>
      <c r="I3" s="5" t="s">
        <v>132</v>
      </c>
      <c r="J3" t="s">
        <v>17</v>
      </c>
      <c r="K3" s="15" t="s">
        <v>97</v>
      </c>
      <c r="L3" t="s">
        <v>136</v>
      </c>
      <c r="M3" t="s">
        <v>134</v>
      </c>
      <c r="N3" t="s">
        <v>137</v>
      </c>
    </row>
    <row r="4" spans="1:15" x14ac:dyDescent="0.3">
      <c r="A4" s="5">
        <f>ROW() - ROW(tblOdsustva[[#Headers],[ID]])</f>
        <v>3</v>
      </c>
      <c r="B4" s="5" t="s">
        <v>82</v>
      </c>
      <c r="C4" s="5" t="s">
        <v>98</v>
      </c>
      <c r="D4" s="6">
        <v>46042</v>
      </c>
      <c r="E4" s="6">
        <v>46042</v>
      </c>
      <c r="F4" s="7">
        <f>IF(AND(D4&lt;&gt;"",E4&lt;&gt;""),NETWORKDAYS.INTL(D4,E4,1,Praznici!$A$2:$A$200),"")</f>
        <v>1</v>
      </c>
      <c r="G4" s="7">
        <f t="shared" si="0"/>
        <v>2026</v>
      </c>
      <c r="H4" s="7">
        <f t="shared" si="1"/>
        <v>1</v>
      </c>
      <c r="I4" s="5" t="s">
        <v>138</v>
      </c>
      <c r="J4" t="s">
        <v>17</v>
      </c>
      <c r="K4" s="15" t="s">
        <v>94</v>
      </c>
      <c r="L4" t="s">
        <v>139</v>
      </c>
      <c r="M4" t="s">
        <v>134</v>
      </c>
      <c r="N4" t="s">
        <v>140</v>
      </c>
    </row>
    <row r="5" spans="1:15" x14ac:dyDescent="0.3">
      <c r="A5" s="5">
        <f>ROW() - ROW(tblOdsustva[[#Headers],[ID]])</f>
        <v>4</v>
      </c>
      <c r="B5" s="5" t="s">
        <v>74</v>
      </c>
      <c r="C5" s="5" t="s">
        <v>13</v>
      </c>
      <c r="D5" s="6">
        <v>46191</v>
      </c>
      <c r="E5" s="6">
        <v>46196</v>
      </c>
      <c r="F5" s="7">
        <f>IF(AND(D5&lt;&gt;"",E5&lt;&gt;""),NETWORKDAYS.INTL(D5,E5,1,Praznici!$A$2:$A$200),"")</f>
        <v>4</v>
      </c>
      <c r="G5" s="7">
        <f t="shared" si="0"/>
        <v>2026</v>
      </c>
      <c r="H5" s="7">
        <f t="shared" si="1"/>
        <v>6</v>
      </c>
      <c r="I5" s="5" t="s">
        <v>141</v>
      </c>
      <c r="J5" t="s">
        <v>15</v>
      </c>
      <c r="K5" s="15" t="s">
        <v>97</v>
      </c>
      <c r="L5" t="s">
        <v>142</v>
      </c>
      <c r="M5" t="s">
        <v>134</v>
      </c>
      <c r="N5" t="s">
        <v>143</v>
      </c>
    </row>
    <row r="6" spans="1:15" x14ac:dyDescent="0.3">
      <c r="A6" s="5">
        <f>ROW() - ROW(tblOdsustva[[#Headers],[ID]])</f>
        <v>5</v>
      </c>
      <c r="B6" s="5" t="s">
        <v>69</v>
      </c>
      <c r="C6" s="5" t="s">
        <v>13</v>
      </c>
      <c r="D6" s="6">
        <v>46055</v>
      </c>
      <c r="E6" s="6">
        <v>46059</v>
      </c>
      <c r="F6" s="7">
        <f>IF(AND(D6&lt;&gt;"",E6&lt;&gt;""),NETWORKDAYS.INTL(D6,E6,1,Praznici!$A$2:$A$200),"")</f>
        <v>5</v>
      </c>
      <c r="G6" s="7">
        <f t="shared" si="0"/>
        <v>2026</v>
      </c>
      <c r="H6" s="7">
        <f t="shared" si="1"/>
        <v>2</v>
      </c>
      <c r="I6" s="5" t="s">
        <v>141</v>
      </c>
      <c r="J6" t="s">
        <v>15</v>
      </c>
      <c r="K6" s="15" t="s">
        <v>97</v>
      </c>
      <c r="L6" t="s">
        <v>144</v>
      </c>
      <c r="M6" t="s">
        <v>134</v>
      </c>
      <c r="N6" t="s">
        <v>145</v>
      </c>
    </row>
    <row r="7" spans="1:15" x14ac:dyDescent="0.3">
      <c r="A7" s="5">
        <f>ROW() - ROW(tblOdsustva[[#Headers],[ID]])</f>
        <v>6</v>
      </c>
      <c r="B7" s="5" t="s">
        <v>86</v>
      </c>
      <c r="C7" s="5" t="s">
        <v>102</v>
      </c>
      <c r="D7" s="6">
        <v>46050</v>
      </c>
      <c r="E7" s="6">
        <v>46062</v>
      </c>
      <c r="F7" s="7">
        <f>IF(AND(D7&lt;&gt;"",E7&lt;&gt;""),NETWORKDAYS.INTL(D7,E7,1,Praznici!$A$2:$A$200),"")</f>
        <v>9</v>
      </c>
      <c r="G7" s="7">
        <f t="shared" si="0"/>
        <v>2026</v>
      </c>
      <c r="H7" s="7">
        <f t="shared" si="1"/>
        <v>1</v>
      </c>
      <c r="I7" s="5" t="s">
        <v>146</v>
      </c>
      <c r="J7" t="s">
        <v>22</v>
      </c>
      <c r="K7" s="15" t="s">
        <v>94</v>
      </c>
      <c r="L7" t="s">
        <v>147</v>
      </c>
      <c r="M7" t="s">
        <v>148</v>
      </c>
      <c r="N7" t="s">
        <v>149</v>
      </c>
    </row>
    <row r="8" spans="1:15" x14ac:dyDescent="0.3">
      <c r="A8" s="5">
        <f>ROW() - ROW(tblOdsustva[[#Headers],[ID]])</f>
        <v>7</v>
      </c>
      <c r="B8" s="5" t="s">
        <v>72</v>
      </c>
      <c r="C8" s="5" t="s">
        <v>13</v>
      </c>
      <c r="D8" s="6">
        <v>46064</v>
      </c>
      <c r="E8" s="6">
        <v>46071</v>
      </c>
      <c r="F8" s="7">
        <f>IF(AND(D8&lt;&gt;"",E8&lt;&gt;""),NETWORKDAYS.INTL(D8,E8,1,Praznici!$A$2:$A$200),"")</f>
        <v>4</v>
      </c>
      <c r="G8" s="7">
        <f t="shared" si="0"/>
        <v>2026</v>
      </c>
      <c r="H8" s="7">
        <f t="shared" si="1"/>
        <v>2</v>
      </c>
      <c r="I8" s="5" t="s">
        <v>150</v>
      </c>
      <c r="J8" t="s">
        <v>15</v>
      </c>
      <c r="K8" s="15" t="s">
        <v>97</v>
      </c>
      <c r="L8" t="s">
        <v>151</v>
      </c>
      <c r="M8" t="s">
        <v>134</v>
      </c>
      <c r="N8" t="s">
        <v>152</v>
      </c>
    </row>
    <row r="9" spans="1:15" x14ac:dyDescent="0.3">
      <c r="A9" s="5">
        <f>ROW() - ROW(tblOdsustva[[#Headers],[ID]])</f>
        <v>8</v>
      </c>
      <c r="B9" s="5" t="s">
        <v>74</v>
      </c>
      <c r="C9" s="5" t="s">
        <v>102</v>
      </c>
      <c r="D9" s="6">
        <v>46072</v>
      </c>
      <c r="E9" s="6">
        <v>46073</v>
      </c>
      <c r="F9" s="7">
        <f>IF(AND(D9&lt;&gt;"",E9&lt;&gt;""),NETWORKDAYS.INTL(D9,E9,1,Praznici!$A$2:$A$200),"")</f>
        <v>2</v>
      </c>
      <c r="G9" s="7">
        <f t="shared" si="0"/>
        <v>2026</v>
      </c>
      <c r="H9" s="7">
        <f t="shared" si="1"/>
        <v>2</v>
      </c>
      <c r="I9" s="5" t="s">
        <v>153</v>
      </c>
      <c r="J9" t="s">
        <v>15</v>
      </c>
      <c r="K9" s="15" t="s">
        <v>97</v>
      </c>
      <c r="L9" t="s">
        <v>154</v>
      </c>
      <c r="M9" t="s">
        <v>134</v>
      </c>
      <c r="N9" t="s">
        <v>155</v>
      </c>
    </row>
    <row r="10" spans="1:15" x14ac:dyDescent="0.3">
      <c r="A10" s="5">
        <f>ROW() - ROW(tblOdsustva[[#Headers],[ID]])</f>
        <v>9</v>
      </c>
      <c r="B10" s="5" t="s">
        <v>83</v>
      </c>
      <c r="C10" s="5" t="s">
        <v>102</v>
      </c>
      <c r="D10" s="6">
        <v>46072</v>
      </c>
      <c r="E10" s="6">
        <v>46079</v>
      </c>
      <c r="F10" s="7">
        <f>IF(AND(D10&lt;&gt;"",E10&lt;&gt;""),NETWORKDAYS.INTL(D10,E10,1,Praznici!$A$2:$A$200),"")</f>
        <v>6</v>
      </c>
      <c r="G10" s="7">
        <f t="shared" si="0"/>
        <v>2026</v>
      </c>
      <c r="H10" s="7">
        <f t="shared" si="1"/>
        <v>2</v>
      </c>
      <c r="I10" s="5"/>
      <c r="K10" s="15"/>
    </row>
    <row r="11" spans="1:15" x14ac:dyDescent="0.3">
      <c r="A11" s="5">
        <f>ROW() - ROW(tblOdsustva[[#Headers],[ID]])</f>
        <v>10</v>
      </c>
      <c r="B11" s="5"/>
      <c r="C11" s="5"/>
      <c r="D11" s="6"/>
      <c r="E11" s="6"/>
      <c r="F11" s="7" t="str">
        <f>IF(AND(D11&lt;&gt;"",E11&lt;&gt;""),NETWORKDAYS.INTL(D11,E11,1,Praznici!$A$2:$A$200),"")</f>
        <v/>
      </c>
      <c r="G11" s="7" t="str">
        <f t="shared" si="0"/>
        <v/>
      </c>
      <c r="H11" s="7" t="str">
        <f t="shared" si="1"/>
        <v/>
      </c>
      <c r="I11" s="5"/>
      <c r="K11" s="15"/>
    </row>
    <row r="12" spans="1:15" x14ac:dyDescent="0.3">
      <c r="A12" s="5">
        <f>ROW() - ROW(tblOdsustva[[#Headers],[ID]])</f>
        <v>11</v>
      </c>
      <c r="B12" s="5"/>
      <c r="C12" s="5"/>
      <c r="D12" s="6"/>
      <c r="E12" s="6"/>
      <c r="F12" s="7" t="str">
        <f>IF(AND(D12&lt;&gt;"",E12&lt;&gt;""),NETWORKDAYS.INTL(D12,E12,1,Praznici!$A$2:$A$200),"")</f>
        <v/>
      </c>
      <c r="G12" s="7" t="str">
        <f t="shared" si="0"/>
        <v/>
      </c>
      <c r="H12" s="7" t="str">
        <f t="shared" si="1"/>
        <v/>
      </c>
      <c r="I12" s="5"/>
      <c r="K12" s="15"/>
    </row>
    <row r="13" spans="1:15" x14ac:dyDescent="0.3">
      <c r="A13" s="5">
        <f>ROW() - ROW(tblOdsustva[[#Headers],[ID]])</f>
        <v>12</v>
      </c>
      <c r="B13" s="5"/>
      <c r="C13" s="5"/>
      <c r="D13" s="6"/>
      <c r="E13" s="6"/>
      <c r="F13" s="7" t="str">
        <f>IF(AND(D13&lt;&gt;"",E13&lt;&gt;""),NETWORKDAYS.INTL(D13,E13,1,Praznici!$A$2:$A$200),"")</f>
        <v/>
      </c>
      <c r="G13" s="7" t="str">
        <f t="shared" si="0"/>
        <v/>
      </c>
      <c r="H13" s="7" t="str">
        <f t="shared" si="1"/>
        <v/>
      </c>
      <c r="I13" s="5"/>
      <c r="K13" s="15"/>
    </row>
    <row r="14" spans="1:15" x14ac:dyDescent="0.3">
      <c r="A14" s="5">
        <f>ROW() - ROW(tblOdsustva[[#Headers],[ID]])</f>
        <v>13</v>
      </c>
      <c r="B14" s="5"/>
      <c r="C14" s="5"/>
      <c r="D14" s="6"/>
      <c r="E14" s="6"/>
      <c r="F14" s="7" t="str">
        <f>IF(AND(D14&lt;&gt;"",E14&lt;&gt;""),NETWORKDAYS.INTL(D14,E14,1,Praznici!$A$2:$A$200),"")</f>
        <v/>
      </c>
      <c r="G14" s="7" t="str">
        <f t="shared" si="0"/>
        <v/>
      </c>
      <c r="H14" s="7" t="str">
        <f t="shared" si="1"/>
        <v/>
      </c>
      <c r="I14" s="5"/>
      <c r="K14" s="15"/>
    </row>
    <row r="15" spans="1:15" x14ac:dyDescent="0.3">
      <c r="A15" s="5">
        <f>ROW() - ROW(tblOdsustva[[#Headers],[ID]])</f>
        <v>14</v>
      </c>
      <c r="B15" s="5"/>
      <c r="C15" s="5"/>
      <c r="D15" s="6"/>
      <c r="E15" s="6"/>
      <c r="F15" s="7" t="str">
        <f>IF(AND(D15&lt;&gt;"",E15&lt;&gt;""),NETWORKDAYS.INTL(D15,E15,1,Praznici!$A$2:$A$200),"")</f>
        <v/>
      </c>
      <c r="G15" s="7" t="str">
        <f t="shared" si="0"/>
        <v/>
      </c>
      <c r="H15" s="7" t="str">
        <f t="shared" si="1"/>
        <v/>
      </c>
      <c r="I15" s="5"/>
      <c r="K15" s="15"/>
    </row>
    <row r="16" spans="1:15" x14ac:dyDescent="0.3">
      <c r="A16" s="5">
        <f>ROW() - ROW(tblOdsustva[[#Headers],[ID]])</f>
        <v>15</v>
      </c>
      <c r="B16" s="5"/>
      <c r="C16" s="5"/>
      <c r="D16" s="6"/>
      <c r="E16" s="6"/>
      <c r="F16" s="7" t="str">
        <f>IF(AND(D16&lt;&gt;"",E16&lt;&gt;""),NETWORKDAYS.INTL(D16,E16,1,Praznici!$A$2:$A$200),"")</f>
        <v/>
      </c>
      <c r="G16" s="7" t="str">
        <f t="shared" si="0"/>
        <v/>
      </c>
      <c r="H16" s="7" t="str">
        <f t="shared" si="1"/>
        <v/>
      </c>
      <c r="I16" s="5"/>
      <c r="K16" s="15"/>
    </row>
    <row r="17" spans="1:11" x14ac:dyDescent="0.3">
      <c r="A17" s="5">
        <f>ROW() - ROW(tblOdsustva[[#Headers],[ID]])</f>
        <v>16</v>
      </c>
      <c r="B17" s="5"/>
      <c r="C17" s="5"/>
      <c r="D17" s="6"/>
      <c r="E17" s="6"/>
      <c r="F17" s="7" t="str">
        <f>IF(AND(D17&lt;&gt;"",E17&lt;&gt;""),NETWORKDAYS.INTL(D17,E17,1,Praznici!$A$2:$A$200),"")</f>
        <v/>
      </c>
      <c r="G17" s="7" t="str">
        <f t="shared" si="0"/>
        <v/>
      </c>
      <c r="H17" s="7" t="str">
        <f t="shared" si="1"/>
        <v/>
      </c>
      <c r="I17" s="5"/>
      <c r="K17" s="15"/>
    </row>
    <row r="18" spans="1:11" x14ac:dyDescent="0.3">
      <c r="A18" s="5">
        <f>ROW() - ROW(tblOdsustva[[#Headers],[ID]])</f>
        <v>17</v>
      </c>
      <c r="B18" s="5"/>
      <c r="C18" s="5"/>
      <c r="D18" s="6"/>
      <c r="E18" s="6"/>
      <c r="F18" s="7" t="str">
        <f>IF(AND(D18&lt;&gt;"",E18&lt;&gt;""),NETWORKDAYS.INTL(D18,E18,1,Praznici!$A$2:$A$200),"")</f>
        <v/>
      </c>
      <c r="G18" s="7" t="str">
        <f t="shared" si="0"/>
        <v/>
      </c>
      <c r="H18" s="7" t="str">
        <f t="shared" si="1"/>
        <v/>
      </c>
      <c r="I18" s="5"/>
      <c r="K18" s="15"/>
    </row>
    <row r="19" spans="1:11" x14ac:dyDescent="0.3">
      <c r="A19" s="5">
        <f>ROW() - ROW(tblOdsustva[[#Headers],[ID]])</f>
        <v>18</v>
      </c>
      <c r="B19" s="5"/>
      <c r="C19" s="5"/>
      <c r="D19" s="6"/>
      <c r="E19" s="6"/>
      <c r="F19" s="7" t="str">
        <f>IF(AND(D19&lt;&gt;"",E19&lt;&gt;""),NETWORKDAYS.INTL(D19,E19,1,Praznici!$A$2:$A$200),"")</f>
        <v/>
      </c>
      <c r="G19" s="7" t="str">
        <f t="shared" si="0"/>
        <v/>
      </c>
      <c r="H19" s="7" t="str">
        <f t="shared" si="1"/>
        <v/>
      </c>
      <c r="I19" s="5"/>
      <c r="K19" s="15"/>
    </row>
    <row r="20" spans="1:11" x14ac:dyDescent="0.3">
      <c r="A20" s="5">
        <f>ROW() - ROW(tblOdsustva[[#Headers],[ID]])</f>
        <v>19</v>
      </c>
      <c r="B20" s="5"/>
      <c r="C20" s="5"/>
      <c r="D20" s="6"/>
      <c r="E20" s="6"/>
      <c r="F20" s="7" t="str">
        <f>IF(AND(D20&lt;&gt;"",E20&lt;&gt;""),NETWORKDAYS.INTL(D20,E20,1,Praznici!$A$2:$A$200),"")</f>
        <v/>
      </c>
      <c r="G20" s="7" t="str">
        <f t="shared" si="0"/>
        <v/>
      </c>
      <c r="H20" s="7" t="str">
        <f t="shared" si="1"/>
        <v/>
      </c>
      <c r="I20" s="5"/>
      <c r="K20" s="15"/>
    </row>
    <row r="21" spans="1:11" x14ac:dyDescent="0.3">
      <c r="A21" s="5">
        <f>ROW() - ROW(tblOdsustva[[#Headers],[ID]])</f>
        <v>20</v>
      </c>
      <c r="B21" s="5"/>
      <c r="C21" s="5"/>
      <c r="D21" s="6"/>
      <c r="E21" s="6"/>
      <c r="F21" s="7" t="str">
        <f>IF(AND(D21&lt;&gt;"",E21&lt;&gt;""),NETWORKDAYS.INTL(D21,E21,1,Praznici!$A$2:$A$200),"")</f>
        <v/>
      </c>
      <c r="G21" s="7" t="str">
        <f t="shared" si="0"/>
        <v/>
      </c>
      <c r="H21" s="7" t="str">
        <f t="shared" si="1"/>
        <v/>
      </c>
      <c r="I21" s="5"/>
      <c r="K21" s="15"/>
    </row>
    <row r="22" spans="1:11" x14ac:dyDescent="0.3">
      <c r="A22" s="5">
        <f>ROW() - ROW(tblOdsustva[[#Headers],[ID]])</f>
        <v>21</v>
      </c>
      <c r="B22" s="5"/>
      <c r="C22" s="5"/>
      <c r="D22" s="6"/>
      <c r="E22" s="6"/>
      <c r="F22" s="7" t="str">
        <f>IF(AND(D22&lt;&gt;"",E22&lt;&gt;""),NETWORKDAYS.INTL(D22,E22,1,Praznici!$A$2:$A$200),"")</f>
        <v/>
      </c>
      <c r="G22" s="7" t="str">
        <f t="shared" si="0"/>
        <v/>
      </c>
      <c r="H22" s="7" t="str">
        <f t="shared" si="1"/>
        <v/>
      </c>
      <c r="I22" s="5"/>
      <c r="K22" s="15"/>
    </row>
    <row r="23" spans="1:11" x14ac:dyDescent="0.3">
      <c r="A23" s="5">
        <f>ROW() - ROW(tblOdsustva[[#Headers],[ID]])</f>
        <v>22</v>
      </c>
      <c r="B23" s="5"/>
      <c r="C23" s="5"/>
      <c r="D23" s="6"/>
      <c r="E23" s="6"/>
      <c r="F23" s="7" t="str">
        <f>IF(AND(D23&lt;&gt;"",E23&lt;&gt;""),NETWORKDAYS.INTL(D23,E23,1,Praznici!$A$2:$A$200),"")</f>
        <v/>
      </c>
      <c r="G23" s="7" t="str">
        <f t="shared" si="0"/>
        <v/>
      </c>
      <c r="H23" s="7" t="str">
        <f t="shared" si="1"/>
        <v/>
      </c>
      <c r="I23" s="5"/>
      <c r="K23" s="15"/>
    </row>
    <row r="24" spans="1:11" x14ac:dyDescent="0.3">
      <c r="A24" s="5">
        <f>ROW() - ROW(tblOdsustva[[#Headers],[ID]])</f>
        <v>23</v>
      </c>
      <c r="B24" s="5"/>
      <c r="C24" s="5"/>
      <c r="D24" s="6"/>
      <c r="E24" s="6"/>
      <c r="F24" s="7" t="str">
        <f>IF(AND(D24&lt;&gt;"",E24&lt;&gt;""),NETWORKDAYS.INTL(D24,E24,1,Praznici!$A$2:$A$200),"")</f>
        <v/>
      </c>
      <c r="G24" s="7" t="str">
        <f t="shared" si="0"/>
        <v/>
      </c>
      <c r="H24" s="7" t="str">
        <f t="shared" si="1"/>
        <v/>
      </c>
      <c r="I24" s="5"/>
      <c r="K24" s="15"/>
    </row>
    <row r="25" spans="1:11" x14ac:dyDescent="0.3">
      <c r="A25" s="5">
        <f>ROW() - ROW(tblOdsustva[[#Headers],[ID]])</f>
        <v>24</v>
      </c>
      <c r="B25" s="5"/>
      <c r="C25" s="5"/>
      <c r="D25" s="6"/>
      <c r="E25" s="6"/>
      <c r="F25" s="7" t="str">
        <f>IF(AND(D25&lt;&gt;"",E25&lt;&gt;""),NETWORKDAYS.INTL(D25,E25,1,Praznici!$A$2:$A$200),"")</f>
        <v/>
      </c>
      <c r="G25" s="7" t="str">
        <f t="shared" si="0"/>
        <v/>
      </c>
      <c r="H25" s="7" t="str">
        <f t="shared" si="1"/>
        <v/>
      </c>
      <c r="I25" s="5"/>
      <c r="K25" s="15"/>
    </row>
    <row r="26" spans="1:11" x14ac:dyDescent="0.3">
      <c r="A26" s="5">
        <f>ROW() - ROW(tblOdsustva[[#Headers],[ID]])</f>
        <v>25</v>
      </c>
      <c r="B26" s="5"/>
      <c r="C26" s="5"/>
      <c r="D26" s="6"/>
      <c r="E26" s="6"/>
      <c r="F26" s="7" t="str">
        <f>IF(AND(D26&lt;&gt;"",E26&lt;&gt;""),NETWORKDAYS.INTL(D26,E26,1,Praznici!$A$2:$A$200),"")</f>
        <v/>
      </c>
      <c r="G26" s="7" t="str">
        <f t="shared" si="0"/>
        <v/>
      </c>
      <c r="H26" s="7" t="str">
        <f t="shared" si="1"/>
        <v/>
      </c>
      <c r="I26" s="5"/>
      <c r="K26" s="15"/>
    </row>
    <row r="27" spans="1:11" x14ac:dyDescent="0.3">
      <c r="A27" s="5">
        <f>ROW() - ROW(tblOdsustva[[#Headers],[ID]])</f>
        <v>26</v>
      </c>
      <c r="B27" s="5"/>
      <c r="C27" s="5"/>
      <c r="D27" s="6"/>
      <c r="E27" s="6"/>
      <c r="F27" s="7" t="str">
        <f>IF(AND(D27&lt;&gt;"",E27&lt;&gt;""),NETWORKDAYS.INTL(D27,E27,1,Praznici!$A$2:$A$200),"")</f>
        <v/>
      </c>
      <c r="G27" s="7" t="str">
        <f t="shared" si="0"/>
        <v/>
      </c>
      <c r="H27" s="7" t="str">
        <f t="shared" si="1"/>
        <v/>
      </c>
      <c r="I27" s="5"/>
      <c r="K27" s="15"/>
    </row>
    <row r="28" spans="1:11" x14ac:dyDescent="0.3">
      <c r="A28" s="5">
        <f>ROW() - ROW(tblOdsustva[[#Headers],[ID]])</f>
        <v>27</v>
      </c>
      <c r="B28" s="5"/>
      <c r="C28" s="5"/>
      <c r="D28" s="6"/>
      <c r="E28" s="6"/>
      <c r="F28" s="7" t="str">
        <f>IF(AND(D28&lt;&gt;"",E28&lt;&gt;""),NETWORKDAYS.INTL(D28,E28,1,Praznici!$A$2:$A$200),"")</f>
        <v/>
      </c>
      <c r="G28" s="7" t="str">
        <f t="shared" si="0"/>
        <v/>
      </c>
      <c r="H28" s="7" t="str">
        <f t="shared" si="1"/>
        <v/>
      </c>
      <c r="I28" s="5"/>
      <c r="K28" s="15"/>
    </row>
    <row r="29" spans="1:11" x14ac:dyDescent="0.3">
      <c r="A29" s="5">
        <f>ROW() - ROW(tblOdsustva[[#Headers],[ID]])</f>
        <v>28</v>
      </c>
      <c r="B29" s="5"/>
      <c r="C29" s="5"/>
      <c r="D29" s="6"/>
      <c r="E29" s="6"/>
      <c r="F29" s="7" t="str">
        <f>IF(AND(D29&lt;&gt;"",E29&lt;&gt;""),NETWORKDAYS.INTL(D29,E29,1,Praznici!$A$2:$A$200),"")</f>
        <v/>
      </c>
      <c r="G29" s="7" t="str">
        <f t="shared" si="0"/>
        <v/>
      </c>
      <c r="H29" s="7" t="str">
        <f t="shared" si="1"/>
        <v/>
      </c>
      <c r="I29" s="5"/>
      <c r="K29" s="15"/>
    </row>
    <row r="30" spans="1:11" x14ac:dyDescent="0.3">
      <c r="A30" s="5">
        <f>ROW() - ROW(tblOdsustva[[#Headers],[ID]])</f>
        <v>29</v>
      </c>
      <c r="B30" s="5"/>
      <c r="C30" s="5"/>
      <c r="D30" s="6"/>
      <c r="E30" s="6"/>
      <c r="F30" s="7" t="str">
        <f>IF(AND(D30&lt;&gt;"",E30&lt;&gt;""),NETWORKDAYS.INTL(D30,E30,1,Praznici!$A$2:$A$200),"")</f>
        <v/>
      </c>
      <c r="G30" s="7" t="str">
        <f t="shared" si="0"/>
        <v/>
      </c>
      <c r="H30" s="7" t="str">
        <f t="shared" si="1"/>
        <v/>
      </c>
      <c r="I30" s="5"/>
      <c r="K30" s="15"/>
    </row>
    <row r="31" spans="1:11" x14ac:dyDescent="0.3">
      <c r="A31" s="5">
        <f>ROW() - ROW(tblOdsustva[[#Headers],[ID]])</f>
        <v>30</v>
      </c>
      <c r="B31" s="5"/>
      <c r="C31" s="5"/>
      <c r="D31" s="6"/>
      <c r="E31" s="6"/>
      <c r="F31" s="7" t="str">
        <f>IF(AND(D31&lt;&gt;"",E31&lt;&gt;""),NETWORKDAYS.INTL(D31,E31,1,Praznici!$A$2:$A$200),"")</f>
        <v/>
      </c>
      <c r="G31" s="7" t="str">
        <f t="shared" si="0"/>
        <v/>
      </c>
      <c r="H31" s="7" t="str">
        <f t="shared" si="1"/>
        <v/>
      </c>
      <c r="I31" s="5"/>
      <c r="K31" s="15"/>
    </row>
    <row r="32" spans="1:11" x14ac:dyDescent="0.3">
      <c r="A32" s="5">
        <f>ROW() - ROW(tblOdsustva[[#Headers],[ID]])</f>
        <v>31</v>
      </c>
      <c r="B32" s="5"/>
      <c r="C32" s="5"/>
      <c r="D32" s="6"/>
      <c r="E32" s="6"/>
      <c r="F32" s="7" t="str">
        <f>IF(AND(D32&lt;&gt;"",E32&lt;&gt;""),NETWORKDAYS.INTL(D32,E32,1,Praznici!$A$2:$A$200),"")</f>
        <v/>
      </c>
      <c r="G32" s="7" t="str">
        <f t="shared" si="0"/>
        <v/>
      </c>
      <c r="H32" s="7" t="str">
        <f t="shared" si="1"/>
        <v/>
      </c>
      <c r="I32" s="5"/>
      <c r="K32" s="15"/>
    </row>
    <row r="33" spans="1:11" x14ac:dyDescent="0.3">
      <c r="A33" s="5">
        <f>ROW() - ROW(tblOdsustva[[#Headers],[ID]])</f>
        <v>32</v>
      </c>
      <c r="B33" s="5"/>
      <c r="C33" s="5"/>
      <c r="D33" s="6"/>
      <c r="E33" s="6"/>
      <c r="F33" s="7" t="str">
        <f>IF(AND(D33&lt;&gt;"",E33&lt;&gt;""),NETWORKDAYS.INTL(D33,E33,1,Praznici!$A$2:$A$200),"")</f>
        <v/>
      </c>
      <c r="G33" s="7" t="str">
        <f t="shared" si="0"/>
        <v/>
      </c>
      <c r="H33" s="7" t="str">
        <f t="shared" si="1"/>
        <v/>
      </c>
      <c r="I33" s="5"/>
      <c r="K33" s="15"/>
    </row>
    <row r="34" spans="1:11" x14ac:dyDescent="0.3">
      <c r="A34" s="5">
        <f>ROW() - ROW(tblOdsustva[[#Headers],[ID]])</f>
        <v>33</v>
      </c>
      <c r="B34" s="5"/>
      <c r="C34" s="5"/>
      <c r="D34" s="6"/>
      <c r="E34" s="6"/>
      <c r="F34" s="7" t="str">
        <f>IF(AND(D34&lt;&gt;"",E34&lt;&gt;""),NETWORKDAYS.INTL(D34,E34,1,Praznici!$A$2:$A$200),"")</f>
        <v/>
      </c>
      <c r="G34" s="7" t="str">
        <f t="shared" si="0"/>
        <v/>
      </c>
      <c r="H34" s="7" t="str">
        <f t="shared" ref="H34:H66" si="2">IF(D34&lt;&gt;"",MONTH(D34),"")</f>
        <v/>
      </c>
      <c r="I34" s="5"/>
      <c r="K34" s="15"/>
    </row>
    <row r="35" spans="1:11" x14ac:dyDescent="0.3">
      <c r="A35" s="5">
        <f>ROW() - ROW(tblOdsustva[[#Headers],[ID]])</f>
        <v>34</v>
      </c>
      <c r="B35" s="5"/>
      <c r="C35" s="5"/>
      <c r="D35" s="6"/>
      <c r="E35" s="6"/>
      <c r="F35" s="7" t="str">
        <f>IF(AND(D35&lt;&gt;"",E35&lt;&gt;""),NETWORKDAYS.INTL(D35,E35,1,Praznici!$A$2:$A$200),"")</f>
        <v/>
      </c>
      <c r="G35" s="7" t="str">
        <f t="shared" si="0"/>
        <v/>
      </c>
      <c r="H35" s="7" t="str">
        <f t="shared" si="2"/>
        <v/>
      </c>
      <c r="I35" s="5"/>
      <c r="K35" s="15"/>
    </row>
    <row r="36" spans="1:11" x14ac:dyDescent="0.3">
      <c r="A36" s="5">
        <f>ROW() - ROW(tblOdsustva[[#Headers],[ID]])</f>
        <v>35</v>
      </c>
      <c r="B36" s="5"/>
      <c r="C36" s="5"/>
      <c r="D36" s="6"/>
      <c r="E36" s="6"/>
      <c r="F36" s="7" t="str">
        <f>IF(AND(D36&lt;&gt;"",E36&lt;&gt;""),NETWORKDAYS.INTL(D36,E36,1,Praznici!$A$2:$A$200),"")</f>
        <v/>
      </c>
      <c r="G36" s="7" t="str">
        <f t="shared" si="0"/>
        <v/>
      </c>
      <c r="H36" s="7" t="str">
        <f t="shared" si="2"/>
        <v/>
      </c>
      <c r="I36" s="5"/>
      <c r="K36" s="15"/>
    </row>
    <row r="37" spans="1:11" x14ac:dyDescent="0.3">
      <c r="A37" s="5">
        <f>ROW() - ROW(tblOdsustva[[#Headers],[ID]])</f>
        <v>36</v>
      </c>
      <c r="B37" s="5"/>
      <c r="C37" s="5"/>
      <c r="D37" s="6"/>
      <c r="E37" s="6"/>
      <c r="F37" s="7" t="str">
        <f>IF(AND(D37&lt;&gt;"",E37&lt;&gt;""),NETWORKDAYS.INTL(D37,E37,1,Praznici!$A$2:$A$200),"")</f>
        <v/>
      </c>
      <c r="G37" s="7" t="str">
        <f t="shared" si="0"/>
        <v/>
      </c>
      <c r="H37" s="7" t="str">
        <f t="shared" si="2"/>
        <v/>
      </c>
      <c r="I37" s="5"/>
      <c r="K37" s="15"/>
    </row>
    <row r="38" spans="1:11" x14ac:dyDescent="0.3">
      <c r="A38" s="5">
        <f>ROW() - ROW(tblOdsustva[[#Headers],[ID]])</f>
        <v>37</v>
      </c>
      <c r="B38" s="5"/>
      <c r="C38" s="5"/>
      <c r="D38" s="6"/>
      <c r="E38" s="6"/>
      <c r="F38" s="7" t="str">
        <f>IF(AND(D38&lt;&gt;"",E38&lt;&gt;""),NETWORKDAYS.INTL(D38,E38,1,Praznici!$A$2:$A$200),"")</f>
        <v/>
      </c>
      <c r="G38" s="7" t="str">
        <f t="shared" si="0"/>
        <v/>
      </c>
      <c r="H38" s="7" t="str">
        <f t="shared" si="2"/>
        <v/>
      </c>
      <c r="I38" s="5"/>
      <c r="K38" s="15"/>
    </row>
    <row r="39" spans="1:11" x14ac:dyDescent="0.3">
      <c r="A39" s="5">
        <f>ROW() - ROW(tblOdsustva[[#Headers],[ID]])</f>
        <v>38</v>
      </c>
      <c r="B39" s="5"/>
      <c r="C39" s="5"/>
      <c r="D39" s="6"/>
      <c r="E39" s="6"/>
      <c r="F39" s="7" t="str">
        <f>IF(AND(D39&lt;&gt;"",E39&lt;&gt;""),NETWORKDAYS.INTL(D39,E39,1,Praznici!$A$2:$A$200),"")</f>
        <v/>
      </c>
      <c r="G39" s="7" t="str">
        <f t="shared" si="0"/>
        <v/>
      </c>
      <c r="H39" s="7" t="str">
        <f t="shared" si="2"/>
        <v/>
      </c>
      <c r="I39" s="5"/>
      <c r="K39" s="15"/>
    </row>
    <row r="40" spans="1:11" x14ac:dyDescent="0.3">
      <c r="A40" s="5">
        <f>ROW() - ROW(tblOdsustva[[#Headers],[ID]])</f>
        <v>39</v>
      </c>
      <c r="B40" s="5"/>
      <c r="C40" s="5"/>
      <c r="D40" s="6"/>
      <c r="E40" s="6"/>
      <c r="F40" s="7" t="str">
        <f>IF(AND(D40&lt;&gt;"",E40&lt;&gt;""),NETWORKDAYS.INTL(D40,E40,1,Praznici!$A$2:$A$200),"")</f>
        <v/>
      </c>
      <c r="G40" s="7" t="str">
        <f t="shared" si="0"/>
        <v/>
      </c>
      <c r="H40" s="7" t="str">
        <f t="shared" si="2"/>
        <v/>
      </c>
      <c r="I40" s="5"/>
      <c r="K40" s="15"/>
    </row>
    <row r="41" spans="1:11" x14ac:dyDescent="0.3">
      <c r="A41" s="5">
        <f>ROW() - ROW(tblOdsustva[[#Headers],[ID]])</f>
        <v>40</v>
      </c>
      <c r="B41" s="5"/>
      <c r="C41" s="5"/>
      <c r="D41" s="6"/>
      <c r="E41" s="6"/>
      <c r="F41" s="7" t="str">
        <f>IF(AND(D41&lt;&gt;"",E41&lt;&gt;""),NETWORKDAYS.INTL(D41,E41,1,Praznici!$A$2:$A$200),"")</f>
        <v/>
      </c>
      <c r="G41" s="7" t="str">
        <f t="shared" si="0"/>
        <v/>
      </c>
      <c r="H41" s="7" t="str">
        <f t="shared" si="2"/>
        <v/>
      </c>
      <c r="I41" s="5"/>
      <c r="K41" s="15"/>
    </row>
    <row r="42" spans="1:11" x14ac:dyDescent="0.3">
      <c r="A42" s="5">
        <f>ROW() - ROW(tblOdsustva[[#Headers],[ID]])</f>
        <v>41</v>
      </c>
      <c r="B42" s="5"/>
      <c r="C42" s="5"/>
      <c r="D42" s="6"/>
      <c r="E42" s="6"/>
      <c r="F42" s="7" t="str">
        <f>IF(AND(D42&lt;&gt;"",E42&lt;&gt;""),NETWORKDAYS.INTL(D42,E42,1,Praznici!$A$2:$A$200),"")</f>
        <v/>
      </c>
      <c r="G42" s="7" t="str">
        <f t="shared" si="0"/>
        <v/>
      </c>
      <c r="H42" s="7" t="str">
        <f t="shared" si="2"/>
        <v/>
      </c>
      <c r="I42" s="5"/>
      <c r="K42" s="15"/>
    </row>
    <row r="43" spans="1:11" x14ac:dyDescent="0.3">
      <c r="A43" s="5">
        <f>ROW() - ROW(tblOdsustva[[#Headers],[ID]])</f>
        <v>42</v>
      </c>
      <c r="B43" s="5"/>
      <c r="C43" s="5"/>
      <c r="D43" s="6"/>
      <c r="E43" s="6"/>
      <c r="F43" s="7" t="str">
        <f>IF(AND(D43&lt;&gt;"",E43&lt;&gt;""),NETWORKDAYS.INTL(D43,E43,1,Praznici!$A$2:$A$200),"")</f>
        <v/>
      </c>
      <c r="G43" s="7" t="str">
        <f t="shared" si="0"/>
        <v/>
      </c>
      <c r="H43" s="7" t="str">
        <f t="shared" si="2"/>
        <v/>
      </c>
      <c r="I43" s="5"/>
      <c r="K43" s="15"/>
    </row>
    <row r="44" spans="1:11" x14ac:dyDescent="0.3">
      <c r="A44" s="5">
        <f>ROW() - ROW(tblOdsustva[[#Headers],[ID]])</f>
        <v>43</v>
      </c>
      <c r="B44" s="5"/>
      <c r="C44" s="5"/>
      <c r="D44" s="6"/>
      <c r="E44" s="6"/>
      <c r="F44" s="7" t="str">
        <f>IF(AND(D44&lt;&gt;"",E44&lt;&gt;""),NETWORKDAYS.INTL(D44,E44,1,Praznici!$A$2:$A$200),"")</f>
        <v/>
      </c>
      <c r="G44" s="7" t="str">
        <f t="shared" si="0"/>
        <v/>
      </c>
      <c r="H44" s="7" t="str">
        <f t="shared" si="2"/>
        <v/>
      </c>
      <c r="I44" s="5"/>
      <c r="K44" s="15"/>
    </row>
    <row r="45" spans="1:11" x14ac:dyDescent="0.3">
      <c r="A45" s="5">
        <f>ROW() - ROW(tblOdsustva[[#Headers],[ID]])</f>
        <v>44</v>
      </c>
      <c r="B45" s="5"/>
      <c r="C45" s="5"/>
      <c r="D45" s="6"/>
      <c r="E45" s="6"/>
      <c r="F45" s="7" t="str">
        <f>IF(AND(D45&lt;&gt;"",E45&lt;&gt;""),NETWORKDAYS.INTL(D45,E45,1,Praznici!$A$2:$A$200),"")</f>
        <v/>
      </c>
      <c r="G45" s="7" t="str">
        <f t="shared" si="0"/>
        <v/>
      </c>
      <c r="H45" s="7" t="str">
        <f t="shared" si="2"/>
        <v/>
      </c>
      <c r="I45" s="5"/>
      <c r="K45" s="15"/>
    </row>
    <row r="46" spans="1:11" x14ac:dyDescent="0.3">
      <c r="A46" s="5">
        <f>ROW() - ROW(tblOdsustva[[#Headers],[ID]])</f>
        <v>45</v>
      </c>
      <c r="B46" s="5"/>
      <c r="C46" s="5"/>
      <c r="D46" s="6"/>
      <c r="E46" s="6"/>
      <c r="F46" s="7" t="str">
        <f>IF(AND(D46&lt;&gt;"",E46&lt;&gt;""),NETWORKDAYS.INTL(D46,E46,1,Praznici!$A$2:$A$200),"")</f>
        <v/>
      </c>
      <c r="G46" s="7" t="str">
        <f t="shared" si="0"/>
        <v/>
      </c>
      <c r="H46" s="7" t="str">
        <f t="shared" si="2"/>
        <v/>
      </c>
      <c r="I46" s="5"/>
      <c r="K46" s="15"/>
    </row>
    <row r="47" spans="1:11" x14ac:dyDescent="0.3">
      <c r="A47" s="5">
        <f>ROW() - ROW(tblOdsustva[[#Headers],[ID]])</f>
        <v>46</v>
      </c>
      <c r="B47" s="5"/>
      <c r="C47" s="5"/>
      <c r="D47" s="6"/>
      <c r="E47" s="6"/>
      <c r="F47" s="7" t="str">
        <f>IF(AND(D47&lt;&gt;"",E47&lt;&gt;""),NETWORKDAYS.INTL(D47,E47,1,Praznici!$A$2:$A$200),"")</f>
        <v/>
      </c>
      <c r="G47" s="7" t="str">
        <f t="shared" si="0"/>
        <v/>
      </c>
      <c r="H47" s="7" t="str">
        <f t="shared" si="2"/>
        <v/>
      </c>
      <c r="I47" s="5"/>
      <c r="K47" s="15"/>
    </row>
    <row r="48" spans="1:11" x14ac:dyDescent="0.3">
      <c r="A48" s="5">
        <f>ROW() - ROW(tblOdsustva[[#Headers],[ID]])</f>
        <v>47</v>
      </c>
      <c r="B48" s="5"/>
      <c r="C48" s="5"/>
      <c r="D48" s="6"/>
      <c r="E48" s="6"/>
      <c r="F48" s="7" t="str">
        <f>IF(AND(D48&lt;&gt;"",E48&lt;&gt;""),NETWORKDAYS.INTL(D48,E48,1,Praznici!$A$2:$A$200),"")</f>
        <v/>
      </c>
      <c r="G48" s="7" t="str">
        <f t="shared" si="0"/>
        <v/>
      </c>
      <c r="H48" s="7" t="str">
        <f t="shared" si="2"/>
        <v/>
      </c>
      <c r="I48" s="5"/>
      <c r="K48" s="15"/>
    </row>
    <row r="49" spans="1:11" x14ac:dyDescent="0.3">
      <c r="A49" s="5">
        <f>ROW() - ROW(tblOdsustva[[#Headers],[ID]])</f>
        <v>48</v>
      </c>
      <c r="B49" s="5"/>
      <c r="C49" s="5"/>
      <c r="D49" s="6"/>
      <c r="E49" s="6"/>
      <c r="F49" s="7" t="str">
        <f>IF(AND(D49&lt;&gt;"",E49&lt;&gt;""),NETWORKDAYS.INTL(D49,E49,1,Praznici!$A$2:$A$200),"")</f>
        <v/>
      </c>
      <c r="G49" s="7"/>
      <c r="H49" s="7" t="str">
        <f t="shared" si="2"/>
        <v/>
      </c>
      <c r="I49" s="5"/>
      <c r="K49" s="15"/>
    </row>
    <row r="50" spans="1:11" x14ac:dyDescent="0.3">
      <c r="A50" s="5">
        <f>ROW() - ROW(tblOdsustva[[#Headers],[ID]])</f>
        <v>49</v>
      </c>
      <c r="B50" s="5"/>
      <c r="C50" s="5"/>
      <c r="D50" s="6"/>
      <c r="E50" s="6"/>
      <c r="F50" s="7" t="str">
        <f>IF(AND(D50&lt;&gt;"",E50&lt;&gt;""),NETWORKDAYS.INTL(D50,E50,1,Praznici!$A$2:$A$200),"")</f>
        <v/>
      </c>
      <c r="G50" s="7"/>
      <c r="H50" s="7" t="str">
        <f t="shared" si="2"/>
        <v/>
      </c>
      <c r="I50" s="5"/>
      <c r="K50" s="15"/>
    </row>
    <row r="51" spans="1:11" x14ac:dyDescent="0.3">
      <c r="A51" s="5">
        <f>ROW() - ROW(tblOdsustva[[#Headers],[ID]])</f>
        <v>50</v>
      </c>
      <c r="B51" s="5"/>
      <c r="C51" s="5"/>
      <c r="D51" s="6"/>
      <c r="E51" s="6"/>
      <c r="F51" s="7" t="str">
        <f>IF(AND(D51&lt;&gt;"",E51&lt;&gt;""),NETWORKDAYS.INTL(D51,E51,1,Praznici!$A$2:$A$200),"")</f>
        <v/>
      </c>
      <c r="G51" s="7"/>
      <c r="H51" s="7" t="str">
        <f t="shared" si="2"/>
        <v/>
      </c>
      <c r="I51" s="5"/>
      <c r="K51" s="15"/>
    </row>
    <row r="52" spans="1:11" x14ac:dyDescent="0.3">
      <c r="A52" s="5">
        <f>ROW() - ROW(tblOdsustva[[#Headers],[ID]])</f>
        <v>51</v>
      </c>
      <c r="B52" s="5"/>
      <c r="C52" s="5"/>
      <c r="D52" s="6"/>
      <c r="E52" s="6"/>
      <c r="F52" s="7" t="str">
        <f>IF(AND(D52&lt;&gt;"",E52&lt;&gt;""),NETWORKDAYS.INTL(D52,E52,1,Praznici!$A$2:$A$200),"")</f>
        <v/>
      </c>
      <c r="G52" s="7"/>
      <c r="H52" s="7" t="str">
        <f t="shared" si="2"/>
        <v/>
      </c>
      <c r="I52" s="5"/>
      <c r="K52" s="15"/>
    </row>
    <row r="53" spans="1:11" x14ac:dyDescent="0.3">
      <c r="A53" s="5">
        <f>ROW() - ROW(tblOdsustva[[#Headers],[ID]])</f>
        <v>52</v>
      </c>
      <c r="B53" s="5"/>
      <c r="C53" s="5"/>
      <c r="D53" s="6"/>
      <c r="E53" s="6"/>
      <c r="F53" s="7" t="str">
        <f>IF(AND(D53&lt;&gt;"",E53&lt;&gt;""),NETWORKDAYS.INTL(D53,E53,1,Praznici!$A$2:$A$200),"")</f>
        <v/>
      </c>
      <c r="G53" s="7"/>
      <c r="H53" s="7" t="str">
        <f t="shared" si="2"/>
        <v/>
      </c>
      <c r="I53" s="5"/>
      <c r="K53" s="15"/>
    </row>
    <row r="54" spans="1:11" x14ac:dyDescent="0.3">
      <c r="A54" s="5">
        <f>ROW() - ROW(tblOdsustva[[#Headers],[ID]])</f>
        <v>53</v>
      </c>
      <c r="B54" s="5"/>
      <c r="C54" s="5"/>
      <c r="D54" s="6"/>
      <c r="E54" s="6"/>
      <c r="F54" s="7" t="str">
        <f>IF(AND(D54&lt;&gt;"",E54&lt;&gt;""),NETWORKDAYS.INTL(D54,E54,1,Praznici!$A$2:$A$200),"")</f>
        <v/>
      </c>
      <c r="G54" s="7"/>
      <c r="H54" s="7" t="str">
        <f t="shared" si="2"/>
        <v/>
      </c>
      <c r="I54" s="5"/>
      <c r="K54" s="15"/>
    </row>
    <row r="55" spans="1:11" x14ac:dyDescent="0.3">
      <c r="A55" s="5">
        <f>ROW() - ROW(tblOdsustva[[#Headers],[ID]])</f>
        <v>54</v>
      </c>
      <c r="B55" s="5"/>
      <c r="C55" s="5"/>
      <c r="D55" s="6"/>
      <c r="E55" s="6"/>
      <c r="F55" s="7" t="str">
        <f>IF(AND(D55&lt;&gt;"",E55&lt;&gt;""),NETWORKDAYS.INTL(D55,E55,1,Praznici!$A$2:$A$200),"")</f>
        <v/>
      </c>
      <c r="G55" s="7"/>
      <c r="H55" s="7" t="str">
        <f t="shared" si="2"/>
        <v/>
      </c>
      <c r="I55" s="5"/>
      <c r="K55" s="15"/>
    </row>
    <row r="56" spans="1:11" x14ac:dyDescent="0.3">
      <c r="A56" s="5">
        <f>ROW() - ROW(tblOdsustva[[#Headers],[ID]])</f>
        <v>55</v>
      </c>
      <c r="B56" s="5"/>
      <c r="C56" s="5"/>
      <c r="D56" s="6"/>
      <c r="E56" s="6"/>
      <c r="F56" s="7" t="str">
        <f>IF(AND(D56&lt;&gt;"",E56&lt;&gt;""),NETWORKDAYS.INTL(D56,E56,1,Praznici!$A$2:$A$200),"")</f>
        <v/>
      </c>
      <c r="G56" s="7"/>
      <c r="H56" s="7" t="str">
        <f t="shared" si="2"/>
        <v/>
      </c>
      <c r="I56" s="5"/>
      <c r="K56" s="15"/>
    </row>
    <row r="57" spans="1:11" x14ac:dyDescent="0.3">
      <c r="A57" s="5">
        <f>ROW() - ROW(tblOdsustva[[#Headers],[ID]])</f>
        <v>56</v>
      </c>
      <c r="B57" s="5"/>
      <c r="C57" s="5"/>
      <c r="D57" s="6"/>
      <c r="E57" s="6"/>
      <c r="F57" s="7" t="str">
        <f>IF(AND(D57&lt;&gt;"",E57&lt;&gt;""),NETWORKDAYS.INTL(D57,E57,1,Praznici!$A$2:$A$200),"")</f>
        <v/>
      </c>
      <c r="G57" s="7"/>
      <c r="H57" s="7" t="str">
        <f t="shared" si="2"/>
        <v/>
      </c>
      <c r="I57" s="5"/>
      <c r="K57" s="15"/>
    </row>
    <row r="58" spans="1:11" x14ac:dyDescent="0.3">
      <c r="A58" s="5">
        <f>ROW() - ROW(tblOdsustva[[#Headers],[ID]])</f>
        <v>57</v>
      </c>
      <c r="B58" s="5"/>
      <c r="C58" s="5"/>
      <c r="D58" s="6"/>
      <c r="E58" s="6"/>
      <c r="F58" s="7" t="str">
        <f>IF(AND(D58&lt;&gt;"",E58&lt;&gt;""),NETWORKDAYS.INTL(D58,E58,1,Praznici!$A$2:$A$200),"")</f>
        <v/>
      </c>
      <c r="G58" s="7"/>
      <c r="H58" s="7" t="str">
        <f t="shared" si="2"/>
        <v/>
      </c>
      <c r="I58" s="5"/>
      <c r="K58" s="15"/>
    </row>
    <row r="59" spans="1:11" x14ac:dyDescent="0.3">
      <c r="A59" s="5">
        <f>ROW() - ROW(tblOdsustva[[#Headers],[ID]])</f>
        <v>58</v>
      </c>
      <c r="B59" s="5"/>
      <c r="C59" s="5"/>
      <c r="D59" s="6"/>
      <c r="E59" s="6"/>
      <c r="F59" s="7" t="str">
        <f>IF(AND(D59&lt;&gt;"",E59&lt;&gt;""),NETWORKDAYS.INTL(D59,E59,1,Praznici!$A$2:$A$200),"")</f>
        <v/>
      </c>
      <c r="G59" s="7"/>
      <c r="H59" s="7" t="str">
        <f t="shared" si="2"/>
        <v/>
      </c>
      <c r="I59" s="5"/>
      <c r="K59" s="15"/>
    </row>
    <row r="60" spans="1:11" x14ac:dyDescent="0.3">
      <c r="A60" s="5">
        <f>ROW() - ROW(tblOdsustva[[#Headers],[ID]])</f>
        <v>59</v>
      </c>
      <c r="B60" s="5"/>
      <c r="C60" s="5"/>
      <c r="D60" s="6"/>
      <c r="E60" s="6"/>
      <c r="F60" s="7" t="str">
        <f>IF(AND(D60&lt;&gt;"",E60&lt;&gt;""),NETWORKDAYS.INTL(D60,E60,1,Praznici!$A$2:$A$200),"")</f>
        <v/>
      </c>
      <c r="G60" s="7"/>
      <c r="H60" s="7" t="str">
        <f t="shared" si="2"/>
        <v/>
      </c>
      <c r="I60" s="5"/>
      <c r="K60" s="15"/>
    </row>
    <row r="61" spans="1:11" x14ac:dyDescent="0.3">
      <c r="A61" s="5">
        <f>ROW() - ROW(tblOdsustva[[#Headers],[ID]])</f>
        <v>60</v>
      </c>
      <c r="B61" s="5"/>
      <c r="C61" s="5"/>
      <c r="D61" s="6"/>
      <c r="E61" s="6"/>
      <c r="F61" s="7" t="str">
        <f>IF(AND(D61&lt;&gt;"",E61&lt;&gt;""),NETWORKDAYS.INTL(D61,E61,1,Praznici!$A$2:$A$200),"")</f>
        <v/>
      </c>
      <c r="G61" s="7"/>
      <c r="H61" s="7" t="str">
        <f t="shared" si="2"/>
        <v/>
      </c>
      <c r="I61" s="5"/>
      <c r="K61" s="15"/>
    </row>
    <row r="62" spans="1:11" x14ac:dyDescent="0.3">
      <c r="A62" s="5">
        <f>ROW() - ROW(tblOdsustva[[#Headers],[ID]])</f>
        <v>61</v>
      </c>
      <c r="B62" s="5"/>
      <c r="C62" s="5"/>
      <c r="D62" s="6"/>
      <c r="E62" s="6"/>
      <c r="F62" s="7" t="str">
        <f>IF(AND(D62&lt;&gt;"",E62&lt;&gt;""),NETWORKDAYS.INTL(D62,E62,1,Praznici!$A$2:$A$200),"")</f>
        <v/>
      </c>
      <c r="G62" s="7"/>
      <c r="H62" s="7" t="str">
        <f t="shared" si="2"/>
        <v/>
      </c>
      <c r="I62" s="5"/>
      <c r="K62" s="15"/>
    </row>
    <row r="63" spans="1:11" x14ac:dyDescent="0.3">
      <c r="A63" s="5">
        <f>ROW() - ROW(tblOdsustva[[#Headers],[ID]])</f>
        <v>62</v>
      </c>
      <c r="B63" s="5"/>
      <c r="C63" s="5"/>
      <c r="D63" s="6"/>
      <c r="E63" s="6"/>
      <c r="F63" s="7" t="str">
        <f>IF(AND(D63&lt;&gt;"",E63&lt;&gt;""),NETWORKDAYS.INTL(D63,E63,1,Praznici!$A$2:$A$200),"")</f>
        <v/>
      </c>
      <c r="G63" s="7"/>
      <c r="H63" s="7" t="str">
        <f t="shared" si="2"/>
        <v/>
      </c>
      <c r="I63" s="5"/>
      <c r="K63" s="15"/>
    </row>
    <row r="64" spans="1:11" x14ac:dyDescent="0.3">
      <c r="A64" s="5">
        <f>ROW() - ROW(tblOdsustva[[#Headers],[ID]])</f>
        <v>63</v>
      </c>
      <c r="B64" s="5"/>
      <c r="C64" s="5"/>
      <c r="D64" s="6"/>
      <c r="E64" s="6"/>
      <c r="F64" s="7" t="str">
        <f>IF(AND(D64&lt;&gt;"",E64&lt;&gt;""),NETWORKDAYS.INTL(D64,E64,1,Praznici!$A$2:$A$200),"")</f>
        <v/>
      </c>
      <c r="G64" s="7"/>
      <c r="H64" s="7" t="str">
        <f t="shared" si="2"/>
        <v/>
      </c>
      <c r="I64" s="5"/>
      <c r="K64" s="15"/>
    </row>
    <row r="65" spans="1:11" x14ac:dyDescent="0.3">
      <c r="A65" s="5">
        <f>ROW() - ROW(tblOdsustva[[#Headers],[ID]])</f>
        <v>64</v>
      </c>
      <c r="B65" s="5"/>
      <c r="C65" s="5"/>
      <c r="D65" s="6"/>
      <c r="E65" s="6"/>
      <c r="F65" s="7" t="str">
        <f>IF(AND(D65&lt;&gt;"",E65&lt;&gt;""),NETWORKDAYS.INTL(D65,E65,1,Praznici!$A$2:$A$200),"")</f>
        <v/>
      </c>
      <c r="G65" s="7"/>
      <c r="H65" s="7" t="str">
        <f t="shared" si="2"/>
        <v/>
      </c>
      <c r="I65" s="5"/>
      <c r="K65" s="15"/>
    </row>
    <row r="66" spans="1:11" x14ac:dyDescent="0.3">
      <c r="A66" s="5">
        <f>ROW() - ROW(tblOdsustva[[#Headers],[ID]])</f>
        <v>65</v>
      </c>
      <c r="B66" s="5"/>
      <c r="C66" s="5"/>
      <c r="D66" s="6"/>
      <c r="E66" s="6"/>
      <c r="F66" s="7" t="str">
        <f>IF(AND(D66&lt;&gt;"",E66&lt;&gt;""),NETWORKDAYS.INTL(D66,E66,1,Praznici!$A$2:$A$200),"")</f>
        <v/>
      </c>
      <c r="G66" s="7"/>
      <c r="H66" s="7" t="str">
        <f t="shared" si="2"/>
        <v/>
      </c>
      <c r="I66" s="5"/>
      <c r="K66" s="15"/>
    </row>
    <row r="67" spans="1:11" x14ac:dyDescent="0.3">
      <c r="A67" s="5">
        <f>ROW() - ROW(tblOdsustva[[#Headers],[ID]])</f>
        <v>66</v>
      </c>
      <c r="B67" s="5"/>
      <c r="C67" s="5"/>
      <c r="D67" s="6"/>
      <c r="E67" s="6"/>
      <c r="F67" s="7" t="str">
        <f>IF(AND(D67&lt;&gt;"",E67&lt;&gt;""),NETWORKDAYS.INTL(D67,E67,1,Praznici!$A$2:$A$200),"")</f>
        <v/>
      </c>
      <c r="G67" s="7"/>
      <c r="H67" s="7"/>
      <c r="I67" s="5"/>
      <c r="K67" s="15"/>
    </row>
    <row r="68" spans="1:11" x14ac:dyDescent="0.3">
      <c r="A68" s="5">
        <f>ROW() - ROW(tblOdsustva[[#Headers],[ID]])</f>
        <v>67</v>
      </c>
      <c r="B68" s="5"/>
      <c r="C68" s="5"/>
      <c r="D68" s="6"/>
      <c r="E68" s="6"/>
      <c r="F68" s="7" t="str">
        <f>IF(AND(D68&lt;&gt;"",E68&lt;&gt;""),NETWORKDAYS.INTL(D68,E68,1,Praznici!$A$2:$A$200),"")</f>
        <v/>
      </c>
      <c r="G68" s="7"/>
      <c r="H68" s="7"/>
      <c r="I68" s="5"/>
      <c r="K68" s="15"/>
    </row>
    <row r="69" spans="1:11" x14ac:dyDescent="0.3">
      <c r="A69" s="5">
        <f>ROW() - ROW(tblOdsustva[[#Headers],[ID]])</f>
        <v>68</v>
      </c>
      <c r="B69" s="5"/>
      <c r="C69" s="5"/>
      <c r="D69" s="6"/>
      <c r="E69" s="6"/>
      <c r="F69" s="7" t="str">
        <f>IF(AND(D69&lt;&gt;"",E69&lt;&gt;""),NETWORKDAYS.INTL(D69,E69,1,Praznici!$A$2:$A$200),"")</f>
        <v/>
      </c>
      <c r="G69" s="7"/>
      <c r="H69" s="7"/>
      <c r="I69" s="5"/>
      <c r="K69" s="15"/>
    </row>
    <row r="70" spans="1:11" x14ac:dyDescent="0.3">
      <c r="A70" s="5">
        <f>ROW() - ROW(tblOdsustva[[#Headers],[ID]])</f>
        <v>69</v>
      </c>
      <c r="B70" s="5"/>
      <c r="C70" s="5"/>
      <c r="D70" s="6"/>
      <c r="E70" s="6"/>
      <c r="F70" s="7" t="str">
        <f>IF(AND(D70&lt;&gt;"",E70&lt;&gt;""),NETWORKDAYS.INTL(D70,E70,1,Praznici!$A$2:$A$200),"")</f>
        <v/>
      </c>
      <c r="G70" s="7"/>
      <c r="H70" s="7"/>
      <c r="I70" s="5"/>
      <c r="K70" s="15"/>
    </row>
    <row r="71" spans="1:11" x14ac:dyDescent="0.3">
      <c r="A71" s="5">
        <f>ROW() - ROW(tblOdsustva[[#Headers],[ID]])</f>
        <v>70</v>
      </c>
      <c r="B71" s="5"/>
      <c r="C71" s="5"/>
      <c r="D71" s="6"/>
      <c r="E71" s="6"/>
      <c r="F71" s="7" t="str">
        <f>IF(AND(D71&lt;&gt;"",E71&lt;&gt;""),NETWORKDAYS.INTL(D71,E71,1,Praznici!$A$2:$A$200),"")</f>
        <v/>
      </c>
      <c r="G71" s="7"/>
      <c r="H71" s="7"/>
      <c r="I71" s="5"/>
      <c r="K71" s="15"/>
    </row>
    <row r="72" spans="1:11" x14ac:dyDescent="0.3">
      <c r="A72" s="5">
        <f>ROW() - ROW(tblOdsustva[[#Headers],[ID]])</f>
        <v>71</v>
      </c>
      <c r="B72" s="5"/>
      <c r="C72" s="5"/>
      <c r="D72" s="6"/>
      <c r="E72" s="6"/>
      <c r="F72" s="7" t="str">
        <f>IF(AND(D72&lt;&gt;"",E72&lt;&gt;""),NETWORKDAYS.INTL(D72,E72,1,Praznici!$A$2:$A$200),"")</f>
        <v/>
      </c>
      <c r="G72" s="7"/>
      <c r="H72" s="7"/>
      <c r="I72" s="5"/>
      <c r="K72" s="15"/>
    </row>
    <row r="73" spans="1:11" x14ac:dyDescent="0.3">
      <c r="A73" s="5">
        <f>ROW() - ROW(tblOdsustva[[#Headers],[ID]])</f>
        <v>72</v>
      </c>
      <c r="B73" s="5"/>
      <c r="C73" s="5"/>
      <c r="D73" s="6"/>
      <c r="E73" s="6"/>
      <c r="F73" s="7" t="str">
        <f>IF(AND(D73&lt;&gt;"",E73&lt;&gt;""),NETWORKDAYS.INTL(D73,E73,1,Praznici!$A$2:$A$200),"")</f>
        <v/>
      </c>
      <c r="G73" s="7"/>
      <c r="H73" s="7"/>
      <c r="I73" s="5"/>
      <c r="K73" s="15"/>
    </row>
    <row r="74" spans="1:11" x14ac:dyDescent="0.3">
      <c r="A74" s="5">
        <f>ROW() - ROW(tblOdsustva[[#Headers],[ID]])</f>
        <v>73</v>
      </c>
      <c r="B74" s="5"/>
      <c r="C74" s="5"/>
      <c r="D74" s="6"/>
      <c r="E74" s="6"/>
      <c r="F74" s="7" t="str">
        <f>IF(AND(D74&lt;&gt;"",E74&lt;&gt;""),NETWORKDAYS.INTL(D74,E74,1,Praznici!$A$2:$A$200),"")</f>
        <v/>
      </c>
      <c r="G74" s="7"/>
      <c r="H74" s="7"/>
      <c r="I74" s="5"/>
      <c r="K74" s="15"/>
    </row>
    <row r="75" spans="1:11" x14ac:dyDescent="0.3">
      <c r="A75" s="5">
        <f>ROW() - ROW(tblOdsustva[[#Headers],[ID]])</f>
        <v>74</v>
      </c>
      <c r="B75" s="5"/>
      <c r="C75" s="5"/>
      <c r="D75" s="6"/>
      <c r="E75" s="6"/>
      <c r="F75" s="7" t="str">
        <f>IF(AND(D75&lt;&gt;"",E75&lt;&gt;""),NETWORKDAYS.INTL(D75,E75,1,Praznici!$A$2:$A$200),"")</f>
        <v/>
      </c>
      <c r="G75" s="7"/>
      <c r="H75" s="7"/>
      <c r="I75" s="5"/>
      <c r="K75" s="15"/>
    </row>
    <row r="76" spans="1:11" x14ac:dyDescent="0.3">
      <c r="A76" s="5">
        <f>ROW() - ROW(tblOdsustva[[#Headers],[ID]])</f>
        <v>75</v>
      </c>
      <c r="B76" s="5"/>
      <c r="C76" s="5"/>
      <c r="D76" s="6"/>
      <c r="E76" s="6"/>
      <c r="F76" s="7" t="str">
        <f>IF(AND(D76&lt;&gt;"",E76&lt;&gt;""),NETWORKDAYS.INTL(D76,E76,1,Praznici!$A$2:$A$200),"")</f>
        <v/>
      </c>
      <c r="G76" s="7"/>
      <c r="H76" s="7"/>
      <c r="I76" s="5"/>
      <c r="K76" s="15"/>
    </row>
    <row r="77" spans="1:11" x14ac:dyDescent="0.3">
      <c r="A77" s="5">
        <f>ROW() - ROW(tblOdsustva[[#Headers],[ID]])</f>
        <v>76</v>
      </c>
      <c r="B77" s="5"/>
      <c r="C77" s="5"/>
      <c r="D77" s="6"/>
      <c r="E77" s="6"/>
      <c r="F77" s="7" t="str">
        <f>IF(AND(D77&lt;&gt;"",E77&lt;&gt;""),NETWORKDAYS.INTL(D77,E77,1,Praznici!$A$2:$A$200),"")</f>
        <v/>
      </c>
      <c r="G77" s="7"/>
      <c r="H77" s="7"/>
      <c r="I77" s="5"/>
      <c r="K77" s="15"/>
    </row>
    <row r="78" spans="1:11" x14ac:dyDescent="0.3">
      <c r="A78" s="5">
        <f>ROW() - ROW(tblOdsustva[[#Headers],[ID]])</f>
        <v>77</v>
      </c>
      <c r="B78" s="5"/>
      <c r="C78" s="5"/>
      <c r="D78" s="6"/>
      <c r="E78" s="6"/>
      <c r="F78" s="7" t="str">
        <f>IF(AND(D78&lt;&gt;"",E78&lt;&gt;""),NETWORKDAYS.INTL(D78,E78,1,Praznici!$A$2:$A$200),"")</f>
        <v/>
      </c>
      <c r="G78" s="7"/>
      <c r="H78" s="7"/>
      <c r="I78" s="5"/>
      <c r="K78" s="15"/>
    </row>
    <row r="79" spans="1:11" x14ac:dyDescent="0.3">
      <c r="A79" s="5">
        <f>ROW() - ROW(tblOdsustva[[#Headers],[ID]])</f>
        <v>78</v>
      </c>
      <c r="B79" s="5"/>
      <c r="C79" s="5"/>
      <c r="D79" s="6"/>
      <c r="E79" s="6"/>
      <c r="F79" s="7" t="str">
        <f>IF(AND(D79&lt;&gt;"",E79&lt;&gt;""),NETWORKDAYS.INTL(D79,E79,1,Praznici!$A$2:$A$200),"")</f>
        <v/>
      </c>
      <c r="G79" s="7"/>
      <c r="H79" s="7"/>
      <c r="I79" s="5"/>
      <c r="K79" s="15"/>
    </row>
    <row r="80" spans="1:11" x14ac:dyDescent="0.3">
      <c r="A80" s="5">
        <f>ROW() - ROW(tblOdsustva[[#Headers],[ID]])</f>
        <v>79</v>
      </c>
      <c r="B80" s="5"/>
      <c r="C80" s="5"/>
      <c r="D80" s="6"/>
      <c r="E80" s="6"/>
      <c r="F80" s="7" t="str">
        <f>IF(AND(D80&lt;&gt;"",E80&lt;&gt;""),NETWORKDAYS.INTL(D80,E80,1,Praznici!$A$2:$A$200),"")</f>
        <v/>
      </c>
      <c r="G80" s="7"/>
      <c r="H80" s="7"/>
      <c r="I80" s="5"/>
      <c r="K80" s="15"/>
    </row>
    <row r="81" spans="1:11" x14ac:dyDescent="0.3">
      <c r="A81" s="5">
        <f>ROW() - ROW(tblOdsustva[[#Headers],[ID]])</f>
        <v>80</v>
      </c>
      <c r="B81" s="5"/>
      <c r="C81" s="5"/>
      <c r="D81" s="6"/>
      <c r="E81" s="6"/>
      <c r="F81" s="7" t="str">
        <f>IF(AND(D81&lt;&gt;"",E81&lt;&gt;""),NETWORKDAYS.INTL(D81,E81,1,Praznici!$A$2:$A$200),"")</f>
        <v/>
      </c>
      <c r="G81" s="7"/>
      <c r="H81" s="7"/>
      <c r="I81" s="5"/>
      <c r="K81" s="15"/>
    </row>
    <row r="82" spans="1:11" x14ac:dyDescent="0.3">
      <c r="A82" s="5">
        <f>ROW() - ROW(tblOdsustva[[#Headers],[ID]])</f>
        <v>81</v>
      </c>
      <c r="B82" s="5"/>
      <c r="C82" s="5"/>
      <c r="D82" s="6"/>
      <c r="E82" s="6"/>
      <c r="F82" s="7" t="str">
        <f>IF(AND(D82&lt;&gt;"",E82&lt;&gt;""),NETWORKDAYS.INTL(D82,E82,1,Praznici!$A$2:$A$200),"")</f>
        <v/>
      </c>
      <c r="G82" s="7"/>
      <c r="H82" s="7"/>
      <c r="I82" s="5"/>
      <c r="K82" s="15"/>
    </row>
    <row r="83" spans="1:11" x14ac:dyDescent="0.3">
      <c r="A83" s="5">
        <f>ROW() - ROW(tblOdsustva[[#Headers],[ID]])</f>
        <v>82</v>
      </c>
      <c r="B83" s="5"/>
      <c r="C83" s="5"/>
      <c r="D83" s="6"/>
      <c r="E83" s="6"/>
      <c r="F83" s="7" t="str">
        <f>IF(AND(D83&lt;&gt;"",E83&lt;&gt;""),NETWORKDAYS.INTL(D83,E83,1,Praznici!$A$2:$A$200),"")</f>
        <v/>
      </c>
      <c r="G83" s="7"/>
      <c r="H83" s="7"/>
      <c r="I83" s="5"/>
      <c r="K83" s="15"/>
    </row>
    <row r="84" spans="1:11" x14ac:dyDescent="0.3">
      <c r="A84" s="5">
        <f>ROW() - ROW(tblOdsustva[[#Headers],[ID]])</f>
        <v>83</v>
      </c>
      <c r="B84" s="5"/>
      <c r="C84" s="5"/>
      <c r="D84" s="6"/>
      <c r="E84" s="6"/>
      <c r="F84" s="7" t="str">
        <f>IF(AND(D84&lt;&gt;"",E84&lt;&gt;""),NETWORKDAYS.INTL(D84,E84,1,Praznici!$A$2:$A$200),"")</f>
        <v/>
      </c>
      <c r="G84" s="7"/>
      <c r="H84" s="7"/>
      <c r="I84" s="5"/>
      <c r="K84" s="15"/>
    </row>
    <row r="85" spans="1:11" x14ac:dyDescent="0.3">
      <c r="A85" s="5">
        <f>ROW() - ROW(tblOdsustva[[#Headers],[ID]])</f>
        <v>84</v>
      </c>
      <c r="B85" s="5"/>
      <c r="C85" s="5"/>
      <c r="D85" s="6"/>
      <c r="E85" s="6"/>
      <c r="F85" s="7" t="str">
        <f>IF(AND(D85&lt;&gt;"",E85&lt;&gt;""),NETWORKDAYS.INTL(D85,E85,1,Praznici!$A$2:$A$200),"")</f>
        <v/>
      </c>
      <c r="G85" s="7"/>
      <c r="H85" s="7"/>
      <c r="I85" s="5"/>
      <c r="K85" s="15"/>
    </row>
    <row r="86" spans="1:11" x14ac:dyDescent="0.3">
      <c r="A86" s="5">
        <f>ROW() - ROW(tblOdsustva[[#Headers],[ID]])</f>
        <v>85</v>
      </c>
      <c r="B86" s="5"/>
      <c r="C86" s="5"/>
      <c r="D86" s="6"/>
      <c r="E86" s="6"/>
      <c r="F86" s="7" t="str">
        <f>IF(AND(D86&lt;&gt;"",E86&lt;&gt;""),NETWORKDAYS.INTL(D86,E86,1,Praznici!$A$2:$A$200),"")</f>
        <v/>
      </c>
      <c r="G86" s="7"/>
      <c r="H86" s="7"/>
      <c r="I86" s="5"/>
      <c r="K86" s="15"/>
    </row>
    <row r="87" spans="1:11" x14ac:dyDescent="0.3">
      <c r="A87" s="5">
        <f>ROW() - ROW(tblOdsustva[[#Headers],[ID]])</f>
        <v>86</v>
      </c>
      <c r="B87" s="5"/>
      <c r="C87" s="5"/>
      <c r="D87" s="6"/>
      <c r="E87" s="6"/>
      <c r="F87" s="7" t="str">
        <f>IF(AND(D87&lt;&gt;"",E87&lt;&gt;""),NETWORKDAYS.INTL(D87,E87,1,Praznici!$A$2:$A$200),"")</f>
        <v/>
      </c>
      <c r="G87" s="7"/>
      <c r="H87" s="7"/>
      <c r="I87" s="5"/>
      <c r="K87" s="15"/>
    </row>
    <row r="88" spans="1:11" x14ac:dyDescent="0.3">
      <c r="A88" s="5">
        <f>ROW() - ROW(tblOdsustva[[#Headers],[ID]])</f>
        <v>87</v>
      </c>
      <c r="B88" s="5"/>
      <c r="C88" s="5"/>
      <c r="D88" s="6"/>
      <c r="E88" s="6"/>
      <c r="F88" s="7" t="str">
        <f>IF(AND(D88&lt;&gt;"",E88&lt;&gt;""),NETWORKDAYS.INTL(D88,E88,1,Praznici!$A$2:$A$200),"")</f>
        <v/>
      </c>
      <c r="G88" s="7"/>
      <c r="H88" s="7"/>
      <c r="I88" s="5"/>
      <c r="K88" s="15"/>
    </row>
    <row r="89" spans="1:11" x14ac:dyDescent="0.3">
      <c r="A89" s="5">
        <f>ROW() - ROW(tblOdsustva[[#Headers],[ID]])</f>
        <v>88</v>
      </c>
      <c r="B89" s="5"/>
      <c r="C89" s="5"/>
      <c r="D89" s="6"/>
      <c r="E89" s="6"/>
      <c r="F89" s="7" t="str">
        <f>IF(AND(D89&lt;&gt;"",E89&lt;&gt;""),NETWORKDAYS.INTL(D89,E89,1,Praznici!$A$2:$A$200),"")</f>
        <v/>
      </c>
      <c r="G89" s="7"/>
      <c r="H89" s="7"/>
      <c r="I89" s="5"/>
      <c r="K89" s="15"/>
    </row>
    <row r="90" spans="1:11" x14ac:dyDescent="0.3">
      <c r="A90" s="5">
        <f>ROW() - ROW(tblOdsustva[[#Headers],[ID]])</f>
        <v>89</v>
      </c>
      <c r="B90" s="5"/>
      <c r="C90" s="5"/>
      <c r="D90" s="6"/>
      <c r="E90" s="6"/>
      <c r="F90" s="7" t="str">
        <f>IF(AND(D90&lt;&gt;"",E90&lt;&gt;""),NETWORKDAYS.INTL(D90,E90,1,Praznici!$A$2:$A$200),"")</f>
        <v/>
      </c>
      <c r="G90" s="7"/>
      <c r="H90" s="7"/>
      <c r="I90" s="5"/>
      <c r="K90" s="15"/>
    </row>
    <row r="91" spans="1:11" x14ac:dyDescent="0.3">
      <c r="A91" s="5">
        <f>ROW() - ROW(tblOdsustva[[#Headers],[ID]])</f>
        <v>90</v>
      </c>
      <c r="B91" s="5"/>
      <c r="C91" s="5"/>
      <c r="D91" s="6"/>
      <c r="E91" s="6"/>
      <c r="F91" s="7" t="str">
        <f>IF(AND(D91&lt;&gt;"",E91&lt;&gt;""),NETWORKDAYS.INTL(D91,E91,1,Praznici!$A$2:$A$200),"")</f>
        <v/>
      </c>
      <c r="G91" s="7"/>
      <c r="H91" s="7"/>
      <c r="I91" s="5"/>
      <c r="K91" s="15"/>
    </row>
    <row r="92" spans="1:11" x14ac:dyDescent="0.3">
      <c r="A92" s="5">
        <f>ROW() - ROW(tblOdsustva[[#Headers],[ID]])</f>
        <v>91</v>
      </c>
      <c r="B92" s="5"/>
      <c r="C92" s="5"/>
      <c r="D92" s="6"/>
      <c r="E92" s="6"/>
      <c r="F92" s="7" t="str">
        <f>IF(AND(D92&lt;&gt;"",E92&lt;&gt;""),NETWORKDAYS.INTL(D92,E92,1,Praznici!$A$2:$A$200),"")</f>
        <v/>
      </c>
      <c r="G92" s="7"/>
      <c r="H92" s="7"/>
      <c r="I92" s="5"/>
      <c r="K92" s="15"/>
    </row>
    <row r="93" spans="1:11" x14ac:dyDescent="0.3">
      <c r="A93" s="5">
        <f>ROW() - ROW(tblOdsustva[[#Headers],[ID]])</f>
        <v>92</v>
      </c>
      <c r="B93" s="5"/>
      <c r="C93" s="5"/>
      <c r="D93" s="6"/>
      <c r="E93" s="6"/>
      <c r="F93" s="7" t="str">
        <f>IF(AND(D93&lt;&gt;"",E93&lt;&gt;""),NETWORKDAYS.INTL(D93,E93,1,Praznici!$A$2:$A$200),"")</f>
        <v/>
      </c>
      <c r="G93" s="7"/>
      <c r="H93" s="7"/>
      <c r="I93" s="5"/>
      <c r="K93" s="15"/>
    </row>
    <row r="94" spans="1:11" x14ac:dyDescent="0.3">
      <c r="A94" s="5">
        <f>ROW() - ROW(tblOdsustva[[#Headers],[ID]])</f>
        <v>93</v>
      </c>
      <c r="B94" s="5"/>
      <c r="C94" s="5"/>
      <c r="D94" s="6"/>
      <c r="E94" s="6"/>
      <c r="F94" s="7" t="str">
        <f>IF(AND(D94&lt;&gt;"",E94&lt;&gt;""),NETWORKDAYS.INTL(D94,E94,1,Praznici!$A$2:$A$200),"")</f>
        <v/>
      </c>
      <c r="G94" s="7"/>
      <c r="H94" s="7"/>
      <c r="I94" s="5"/>
      <c r="K94" s="15"/>
    </row>
    <row r="95" spans="1:11" x14ac:dyDescent="0.3">
      <c r="A95" s="5">
        <f>ROW() - ROW(tblOdsustva[[#Headers],[ID]])</f>
        <v>94</v>
      </c>
      <c r="B95" s="5"/>
      <c r="C95" s="5"/>
      <c r="D95" s="6"/>
      <c r="E95" s="6"/>
      <c r="F95" s="7" t="str">
        <f>IF(AND(D95&lt;&gt;"",E95&lt;&gt;""),NETWORKDAYS.INTL(D95,E95,1,Praznici!$A$2:$A$200),"")</f>
        <v/>
      </c>
      <c r="G95" s="7"/>
      <c r="H95" s="7"/>
      <c r="I95" s="5"/>
      <c r="K95" s="15"/>
    </row>
    <row r="96" spans="1:11" x14ac:dyDescent="0.3">
      <c r="A96" s="5">
        <f>ROW() - ROW(tblOdsustva[[#Headers],[ID]])</f>
        <v>95</v>
      </c>
      <c r="B96" s="5"/>
      <c r="C96" s="5"/>
      <c r="D96" s="6"/>
      <c r="E96" s="6"/>
      <c r="F96" s="7" t="str">
        <f>IF(AND(D96&lt;&gt;"",E96&lt;&gt;""),NETWORKDAYS.INTL(D96,E96,1,Praznici!$A$2:$A$200),"")</f>
        <v/>
      </c>
      <c r="G96" s="7"/>
      <c r="H96" s="7"/>
      <c r="I96" s="5"/>
      <c r="K96" s="15"/>
    </row>
    <row r="97" spans="1:11" x14ac:dyDescent="0.3">
      <c r="A97" s="5">
        <f>ROW() - ROW(tblOdsustva[[#Headers],[ID]])</f>
        <v>96</v>
      </c>
      <c r="B97" s="5"/>
      <c r="C97" s="5"/>
      <c r="D97" s="6"/>
      <c r="E97" s="6"/>
      <c r="F97" s="7" t="str">
        <f>IF(AND(D97&lt;&gt;"",E97&lt;&gt;""),NETWORKDAYS.INTL(D97,E97,1,Praznici!$A$2:$A$200),"")</f>
        <v/>
      </c>
      <c r="G97" s="7"/>
      <c r="H97" s="7"/>
      <c r="I97" s="5"/>
      <c r="K97" s="15"/>
    </row>
    <row r="98" spans="1:11" x14ac:dyDescent="0.3">
      <c r="A98" s="5">
        <f>ROW() - ROW(tblOdsustva[[#Headers],[ID]])</f>
        <v>97</v>
      </c>
      <c r="B98" s="5"/>
      <c r="C98" s="5"/>
      <c r="D98" s="6"/>
      <c r="E98" s="6"/>
      <c r="F98" s="7" t="str">
        <f>IF(AND(D98&lt;&gt;"",E98&lt;&gt;""),NETWORKDAYS.INTL(D98,E98,1,Praznici!$A$2:$A$200),"")</f>
        <v/>
      </c>
      <c r="G98" s="7"/>
      <c r="H98" s="7"/>
      <c r="I98" s="5"/>
      <c r="K98" s="15"/>
    </row>
    <row r="99" spans="1:11" x14ac:dyDescent="0.3">
      <c r="A99" s="5">
        <f>ROW() - ROW(tblOdsustva[[#Headers],[ID]])</f>
        <v>98</v>
      </c>
      <c r="B99" s="5"/>
      <c r="C99" s="5"/>
      <c r="D99" s="6"/>
      <c r="E99" s="6"/>
      <c r="F99" s="7" t="str">
        <f>IF(AND(D99&lt;&gt;"",E99&lt;&gt;""),NETWORKDAYS.INTL(D99,E99,1,Praznici!$A$2:$A$200),"")</f>
        <v/>
      </c>
      <c r="G99" s="7"/>
      <c r="H99" s="7"/>
      <c r="I99" s="5"/>
      <c r="K99" s="15"/>
    </row>
    <row r="100" spans="1:11" x14ac:dyDescent="0.3">
      <c r="A100" s="5">
        <f>ROW() - ROW(tblOdsustva[[#Headers],[ID]])</f>
        <v>99</v>
      </c>
      <c r="B100" s="5"/>
      <c r="C100" s="5"/>
      <c r="D100" s="6"/>
      <c r="E100" s="6"/>
      <c r="F100" s="7" t="str">
        <f>IF(AND(D100&lt;&gt;"",E100&lt;&gt;""),NETWORKDAYS.INTL(D100,E100,1,Praznici!$A$2:$A$200),"")</f>
        <v/>
      </c>
      <c r="G100" s="7"/>
      <c r="H100" s="7"/>
      <c r="I100" s="5"/>
      <c r="K100" s="15"/>
    </row>
    <row r="101" spans="1:11" x14ac:dyDescent="0.3">
      <c r="A101" s="5">
        <f>ROW() - ROW(tblOdsustva[[#Headers],[ID]])</f>
        <v>100</v>
      </c>
      <c r="B101" s="5"/>
      <c r="C101" s="5"/>
      <c r="D101" s="6"/>
      <c r="E101" s="6"/>
      <c r="F101" s="7" t="str">
        <f>IF(AND(D101&lt;&gt;"",E101&lt;&gt;""),NETWORKDAYS.INTL(D101,E101,1,Praznici!$A$2:$A$200),"")</f>
        <v/>
      </c>
      <c r="G101" s="7"/>
      <c r="H101" s="7"/>
      <c r="I101" s="5"/>
      <c r="K101" s="15"/>
    </row>
    <row r="102" spans="1:11" x14ac:dyDescent="0.3">
      <c r="A102" s="5">
        <f>ROW() - ROW(tblOdsustva[[#Headers],[ID]])</f>
        <v>101</v>
      </c>
      <c r="B102" s="5"/>
      <c r="C102" s="5"/>
      <c r="D102" s="6"/>
      <c r="E102" s="6"/>
      <c r="F102" s="7" t="str">
        <f>IF(AND(D102&lt;&gt;"",E102&lt;&gt;""),NETWORKDAYS.INTL(D102,E102,1,Praznici!$A$2:$A$200),"")</f>
        <v/>
      </c>
      <c r="G102" s="7"/>
      <c r="H102" s="7"/>
      <c r="I102" s="5"/>
      <c r="K102" s="15"/>
    </row>
    <row r="103" spans="1:11" x14ac:dyDescent="0.3">
      <c r="A103" s="5">
        <f>ROW() - ROW(tblOdsustva[[#Headers],[ID]])</f>
        <v>102</v>
      </c>
      <c r="B103" s="5"/>
      <c r="C103" s="5"/>
      <c r="D103" s="6"/>
      <c r="E103" s="6"/>
      <c r="F103" s="7" t="str">
        <f>IF(AND(D103&lt;&gt;"",E103&lt;&gt;""),NETWORKDAYS.INTL(D103,E103,1,Praznici!$A$2:$A$200),"")</f>
        <v/>
      </c>
      <c r="G103" s="7"/>
      <c r="H103" s="7"/>
      <c r="I103" s="5"/>
      <c r="K103" s="15"/>
    </row>
    <row r="104" spans="1:11" x14ac:dyDescent="0.3">
      <c r="A104" s="5">
        <f>ROW() - ROW(tblOdsustva[[#Headers],[ID]])</f>
        <v>103</v>
      </c>
      <c r="B104" s="5"/>
      <c r="C104" s="5"/>
      <c r="D104" s="6"/>
      <c r="E104" s="6"/>
      <c r="F104" s="7" t="str">
        <f>IF(AND(D104&lt;&gt;"",E104&lt;&gt;""),NETWORKDAYS.INTL(D104,E104,1,Praznici!$A$2:$A$200),"")</f>
        <v/>
      </c>
      <c r="G104" s="7"/>
      <c r="H104" s="7"/>
      <c r="I104" s="5"/>
      <c r="K104" s="15"/>
    </row>
    <row r="105" spans="1:11" x14ac:dyDescent="0.3">
      <c r="A105" s="5">
        <f>ROW() - ROW(tblOdsustva[[#Headers],[ID]])</f>
        <v>104</v>
      </c>
      <c r="B105" s="5"/>
      <c r="C105" s="5"/>
      <c r="D105" s="6"/>
      <c r="E105" s="6"/>
      <c r="F105" s="7" t="str">
        <f>IF(AND(D105&lt;&gt;"",E105&lt;&gt;""),NETWORKDAYS.INTL(D105,E105,1,Praznici!$A$2:$A$200),"")</f>
        <v/>
      </c>
      <c r="G105" s="7"/>
      <c r="H105" s="7"/>
      <c r="I105" s="5"/>
      <c r="K105" s="15"/>
    </row>
    <row r="106" spans="1:11" x14ac:dyDescent="0.3">
      <c r="A106" s="5">
        <f>ROW() - ROW(tblOdsustva[[#Headers],[ID]])</f>
        <v>105</v>
      </c>
      <c r="B106" s="5"/>
      <c r="C106" s="5"/>
      <c r="D106" s="6"/>
      <c r="E106" s="6"/>
      <c r="F106" s="7" t="str">
        <f>IF(AND(D106&lt;&gt;"",E106&lt;&gt;""),NETWORKDAYS.INTL(D106,E106,1,Praznici!$A$2:$A$200),"")</f>
        <v/>
      </c>
      <c r="G106" s="7"/>
      <c r="H106" s="7"/>
      <c r="I106" s="5"/>
      <c r="K106" s="15"/>
    </row>
    <row r="107" spans="1:11" x14ac:dyDescent="0.3">
      <c r="A107" s="5">
        <f>ROW() - ROW(tblOdsustva[[#Headers],[ID]])</f>
        <v>106</v>
      </c>
      <c r="B107" s="5"/>
      <c r="C107" s="5"/>
      <c r="D107" s="6"/>
      <c r="E107" s="6"/>
      <c r="F107" s="7" t="str">
        <f>IF(AND(D107&lt;&gt;"",E107&lt;&gt;""),NETWORKDAYS.INTL(D107,E107,1,Praznici!$A$2:$A$200),"")</f>
        <v/>
      </c>
      <c r="G107" s="7"/>
      <c r="H107" s="7"/>
      <c r="I107" s="5"/>
      <c r="K107" s="15"/>
    </row>
    <row r="108" spans="1:11" x14ac:dyDescent="0.3">
      <c r="A108" s="5">
        <f>ROW() - ROW(tblOdsustva[[#Headers],[ID]])</f>
        <v>107</v>
      </c>
      <c r="B108" s="5"/>
      <c r="C108" s="5"/>
      <c r="D108" s="6"/>
      <c r="E108" s="6"/>
      <c r="F108" s="7" t="str">
        <f>IF(AND(D108&lt;&gt;"",E108&lt;&gt;""),NETWORKDAYS.INTL(D108,E108,1,Praznici!$A$2:$A$200),"")</f>
        <v/>
      </c>
      <c r="G108" s="7"/>
      <c r="H108" s="7"/>
      <c r="I108" s="5"/>
      <c r="K108" s="15"/>
    </row>
    <row r="109" spans="1:11" x14ac:dyDescent="0.3">
      <c r="A109" s="5">
        <f>ROW() - ROW(tblOdsustva[[#Headers],[ID]])</f>
        <v>108</v>
      </c>
      <c r="B109" s="5"/>
      <c r="C109" s="5"/>
      <c r="D109" s="6"/>
      <c r="E109" s="6"/>
      <c r="F109" s="7" t="str">
        <f>IF(AND(D109&lt;&gt;"",E109&lt;&gt;""),NETWORKDAYS.INTL(D109,E109,1,Praznici!$A$2:$A$200),"")</f>
        <v/>
      </c>
      <c r="G109" s="7"/>
      <c r="H109" s="7"/>
      <c r="I109" s="5"/>
      <c r="K109" s="15"/>
    </row>
    <row r="110" spans="1:11" x14ac:dyDescent="0.3">
      <c r="A110" s="5">
        <f>ROW() - ROW(tblOdsustva[[#Headers],[ID]])</f>
        <v>109</v>
      </c>
      <c r="B110" s="5"/>
      <c r="C110" s="5"/>
      <c r="D110" s="6"/>
      <c r="E110" s="6"/>
      <c r="F110" s="7" t="str">
        <f>IF(AND(D110&lt;&gt;"",E110&lt;&gt;""),NETWORKDAYS.INTL(D110,E110,1,Praznici!$A$2:$A$200),"")</f>
        <v/>
      </c>
      <c r="G110" s="7"/>
      <c r="H110" s="7"/>
      <c r="I110" s="5"/>
      <c r="K110" s="15"/>
    </row>
    <row r="111" spans="1:11" x14ac:dyDescent="0.3">
      <c r="A111" s="5">
        <f>ROW() - ROW(tblOdsustva[[#Headers],[ID]])</f>
        <v>110</v>
      </c>
      <c r="B111" s="5"/>
      <c r="C111" s="5"/>
      <c r="D111" s="6"/>
      <c r="E111" s="6"/>
      <c r="F111" s="7" t="str">
        <f>IF(AND(D111&lt;&gt;"",E111&lt;&gt;""),NETWORKDAYS.INTL(D111,E111,1,Praznici!$A$2:$A$200),"")</f>
        <v/>
      </c>
      <c r="G111" s="7"/>
      <c r="H111" s="7"/>
      <c r="I111" s="5"/>
      <c r="K111" s="15"/>
    </row>
    <row r="112" spans="1:11" x14ac:dyDescent="0.3">
      <c r="A112" s="5">
        <f>ROW() - ROW(tblOdsustva[[#Headers],[ID]])</f>
        <v>111</v>
      </c>
      <c r="B112" s="5"/>
      <c r="C112" s="5"/>
      <c r="D112" s="6"/>
      <c r="E112" s="6"/>
      <c r="F112" s="7" t="str">
        <f>IF(AND(D112&lt;&gt;"",E112&lt;&gt;""),NETWORKDAYS.INTL(D112,E112,1,Praznici!$A$2:$A$200),"")</f>
        <v/>
      </c>
      <c r="G112" s="7"/>
      <c r="H112" s="7"/>
      <c r="I112" s="5"/>
      <c r="K112" s="15"/>
    </row>
    <row r="113" spans="1:11" x14ac:dyDescent="0.3">
      <c r="A113" s="5">
        <f>ROW() - ROW(tblOdsustva[[#Headers],[ID]])</f>
        <v>112</v>
      </c>
      <c r="B113" s="5"/>
      <c r="C113" s="5"/>
      <c r="D113" s="6"/>
      <c r="E113" s="6"/>
      <c r="F113" s="7" t="str">
        <f>IF(AND(D113&lt;&gt;"",E113&lt;&gt;""),NETWORKDAYS.INTL(D113,E113,1,Praznici!$A$2:$A$200),"")</f>
        <v/>
      </c>
      <c r="G113" s="7"/>
      <c r="H113" s="7"/>
      <c r="I113" s="5"/>
      <c r="K113" s="15"/>
    </row>
    <row r="114" spans="1:11" x14ac:dyDescent="0.3">
      <c r="A114" s="5">
        <f>ROW() - ROW(tblOdsustva[[#Headers],[ID]])</f>
        <v>113</v>
      </c>
      <c r="B114" s="5"/>
      <c r="C114" s="5"/>
      <c r="D114" s="6"/>
      <c r="E114" s="6"/>
      <c r="F114" s="7" t="str">
        <f>IF(AND(D114&lt;&gt;"",E114&lt;&gt;""),NETWORKDAYS.INTL(D114,E114,1,Praznici!$A$2:$A$200),"")</f>
        <v/>
      </c>
      <c r="G114" s="7"/>
      <c r="H114" s="7"/>
      <c r="I114" s="5"/>
      <c r="K114" s="15"/>
    </row>
    <row r="115" spans="1:11" x14ac:dyDescent="0.3">
      <c r="A115" s="5">
        <f>ROW() - ROW(tblOdsustva[[#Headers],[ID]])</f>
        <v>114</v>
      </c>
      <c r="B115" s="5"/>
      <c r="C115" s="5"/>
      <c r="D115" s="6"/>
      <c r="E115" s="6"/>
      <c r="F115" s="7" t="str">
        <f>IF(AND(D115&lt;&gt;"",E115&lt;&gt;""),NETWORKDAYS.INTL(D115,E115,1,Praznici!$A$2:$A$200),"")</f>
        <v/>
      </c>
      <c r="G115" s="7"/>
      <c r="H115" s="7"/>
      <c r="I115" s="5"/>
      <c r="K115" s="15"/>
    </row>
    <row r="116" spans="1:11" x14ac:dyDescent="0.3">
      <c r="A116" s="5">
        <f>ROW() - ROW(tblOdsustva[[#Headers],[ID]])</f>
        <v>115</v>
      </c>
      <c r="B116" s="5"/>
      <c r="C116" s="5"/>
      <c r="D116" s="6"/>
      <c r="E116" s="6"/>
      <c r="F116" s="7" t="str">
        <f>IF(AND(D116&lt;&gt;"",E116&lt;&gt;""),NETWORKDAYS.INTL(D116,E116,1,Praznici!$A$2:$A$200),"")</f>
        <v/>
      </c>
      <c r="G116" s="7"/>
      <c r="H116" s="7"/>
      <c r="I116" s="5"/>
      <c r="K116" s="15"/>
    </row>
    <row r="117" spans="1:11" x14ac:dyDescent="0.3">
      <c r="A117" s="5">
        <f>ROW() - ROW(tblOdsustva[[#Headers],[ID]])</f>
        <v>116</v>
      </c>
      <c r="B117" s="5"/>
      <c r="C117" s="5"/>
      <c r="D117" s="6"/>
      <c r="E117" s="6"/>
      <c r="F117" s="7" t="str">
        <f>IF(AND(D117&lt;&gt;"",E117&lt;&gt;""),NETWORKDAYS.INTL(D117,E117,1,Praznici!$A$2:$A$200),"")</f>
        <v/>
      </c>
      <c r="G117" s="7"/>
      <c r="H117" s="7"/>
      <c r="I117" s="5"/>
      <c r="K117" s="15"/>
    </row>
    <row r="118" spans="1:11" x14ac:dyDescent="0.3">
      <c r="A118" s="5">
        <f>ROW() - ROW(tblOdsustva[[#Headers],[ID]])</f>
        <v>117</v>
      </c>
      <c r="B118" s="5"/>
      <c r="C118" s="5"/>
      <c r="D118" s="6"/>
      <c r="E118" s="6"/>
      <c r="F118" s="7" t="str">
        <f>IF(AND(D118&lt;&gt;"",E118&lt;&gt;""),NETWORKDAYS.INTL(D118,E118,1,Praznici!$A$2:$A$200),"")</f>
        <v/>
      </c>
      <c r="G118" s="7"/>
      <c r="H118" s="7"/>
      <c r="I118" s="5"/>
      <c r="K118" s="15"/>
    </row>
    <row r="119" spans="1:11" x14ac:dyDescent="0.3">
      <c r="A119" s="5">
        <f>ROW() - ROW(tblOdsustva[[#Headers],[ID]])</f>
        <v>118</v>
      </c>
      <c r="B119" s="5"/>
      <c r="C119" s="5"/>
      <c r="D119" s="6"/>
      <c r="E119" s="6"/>
      <c r="F119" s="7" t="str">
        <f>IF(AND(D119&lt;&gt;"",E119&lt;&gt;""),NETWORKDAYS.INTL(D119,E119,1,Praznici!$A$2:$A$200),"")</f>
        <v/>
      </c>
      <c r="G119" s="7"/>
      <c r="H119" s="7"/>
      <c r="I119" s="5"/>
      <c r="K119" s="15"/>
    </row>
    <row r="120" spans="1:11" x14ac:dyDescent="0.3">
      <c r="A120" s="5">
        <f>ROW() - ROW(tblOdsustva[[#Headers],[ID]])</f>
        <v>119</v>
      </c>
      <c r="B120" s="5"/>
      <c r="C120" s="5"/>
      <c r="D120" s="6"/>
      <c r="E120" s="6"/>
      <c r="F120" s="7" t="str">
        <f>IF(AND(D120&lt;&gt;"",E120&lt;&gt;""),NETWORKDAYS.INTL(D120,E120,1,Praznici!$A$2:$A$200),"")</f>
        <v/>
      </c>
      <c r="G120" s="7"/>
      <c r="H120" s="7"/>
      <c r="I120" s="5"/>
      <c r="K120" s="15"/>
    </row>
    <row r="121" spans="1:11" x14ac:dyDescent="0.3">
      <c r="A121" s="5">
        <f>ROW() - ROW(tblOdsustva[[#Headers],[ID]])</f>
        <v>120</v>
      </c>
      <c r="B121" s="5"/>
      <c r="C121" s="5"/>
      <c r="D121" s="6"/>
      <c r="E121" s="6"/>
      <c r="F121" s="7"/>
      <c r="G121" s="7"/>
      <c r="H121" s="7"/>
      <c r="I121" s="5"/>
      <c r="K121" s="15"/>
    </row>
    <row r="122" spans="1:11" x14ac:dyDescent="0.3">
      <c r="A122" s="5">
        <f>ROW() - ROW(tblOdsustva[[#Headers],[ID]])</f>
        <v>121</v>
      </c>
      <c r="B122" s="5"/>
      <c r="C122" s="5"/>
      <c r="D122" s="6"/>
      <c r="E122" s="6"/>
      <c r="F122" s="7"/>
      <c r="G122" s="7"/>
      <c r="H122" s="7"/>
      <c r="I122" s="5"/>
      <c r="K122" s="15"/>
    </row>
    <row r="123" spans="1:11" x14ac:dyDescent="0.3">
      <c r="A123" s="5">
        <f>ROW() - ROW(tblOdsustva[[#Headers],[ID]])</f>
        <v>122</v>
      </c>
      <c r="B123" s="5"/>
      <c r="C123" s="5"/>
      <c r="D123" s="6"/>
      <c r="E123" s="6"/>
      <c r="F123" s="7"/>
      <c r="G123" s="7"/>
      <c r="H123" s="7"/>
      <c r="I123" s="5"/>
      <c r="K123" s="15"/>
    </row>
    <row r="124" spans="1:11" x14ac:dyDescent="0.3">
      <c r="A124" s="5">
        <f>ROW() - ROW(tblOdsustva[[#Headers],[ID]])</f>
        <v>123</v>
      </c>
      <c r="B124" s="5"/>
      <c r="C124" s="5"/>
      <c r="D124" s="6"/>
      <c r="E124" s="6"/>
      <c r="F124" s="7"/>
      <c r="G124" s="7"/>
      <c r="H124" s="7"/>
      <c r="I124" s="5"/>
      <c r="K124" s="15"/>
    </row>
    <row r="125" spans="1:11" x14ac:dyDescent="0.3">
      <c r="A125" s="5">
        <f>ROW() - ROW(tblOdsustva[[#Headers],[ID]])</f>
        <v>124</v>
      </c>
      <c r="B125" s="5"/>
      <c r="C125" s="5"/>
      <c r="D125" s="6"/>
      <c r="E125" s="6"/>
      <c r="F125" s="7"/>
      <c r="G125" s="7"/>
      <c r="H125" s="7"/>
      <c r="I125" s="5"/>
      <c r="K125" s="15"/>
    </row>
    <row r="126" spans="1:11" x14ac:dyDescent="0.3">
      <c r="A126" s="5">
        <f>ROW() - ROW(tblOdsustva[[#Headers],[ID]])</f>
        <v>125</v>
      </c>
      <c r="B126" s="5"/>
      <c r="C126" s="5"/>
      <c r="D126" s="6"/>
      <c r="E126" s="6"/>
      <c r="F126" s="7"/>
      <c r="G126" s="7"/>
      <c r="H126" s="7"/>
      <c r="I126" s="5"/>
      <c r="K126" s="15"/>
    </row>
    <row r="127" spans="1:11" x14ac:dyDescent="0.3">
      <c r="A127" s="5">
        <f>ROW() - ROW(tblOdsustva[[#Headers],[ID]])</f>
        <v>126</v>
      </c>
      <c r="B127" s="5"/>
      <c r="C127" s="5"/>
      <c r="D127" s="6"/>
      <c r="E127" s="6"/>
      <c r="F127" s="7"/>
      <c r="G127" s="7"/>
      <c r="H127" s="7"/>
      <c r="I127" s="5"/>
      <c r="K127" s="15"/>
    </row>
    <row r="128" spans="1:11" x14ac:dyDescent="0.3">
      <c r="A128" s="5">
        <f>ROW() - ROW(tblOdsustva[[#Headers],[ID]])</f>
        <v>127</v>
      </c>
      <c r="B128" s="5"/>
      <c r="C128" s="5"/>
      <c r="D128" s="6"/>
      <c r="E128" s="6"/>
      <c r="F128" s="7"/>
      <c r="G128" s="7"/>
      <c r="H128" s="7"/>
      <c r="I128" s="5"/>
      <c r="K128" s="15"/>
    </row>
    <row r="129" spans="1:11" x14ac:dyDescent="0.3">
      <c r="A129" s="5">
        <f>ROW() - ROW(tblOdsustva[[#Headers],[ID]])</f>
        <v>128</v>
      </c>
      <c r="B129" s="5"/>
      <c r="C129" s="5"/>
      <c r="D129" s="6"/>
      <c r="E129" s="6"/>
      <c r="F129" s="7"/>
      <c r="G129" s="7"/>
      <c r="H129" s="7"/>
      <c r="I129" s="5"/>
      <c r="K129" s="15"/>
    </row>
    <row r="130" spans="1:11" x14ac:dyDescent="0.3">
      <c r="A130" s="5">
        <f>ROW() - ROW(tblOdsustva[[#Headers],[ID]])</f>
        <v>129</v>
      </c>
      <c r="B130" s="5"/>
      <c r="C130" s="5"/>
      <c r="D130" s="6"/>
      <c r="E130" s="6"/>
      <c r="F130" s="7"/>
      <c r="G130" s="7"/>
      <c r="H130" s="7"/>
      <c r="I130" s="5"/>
      <c r="K130" s="15"/>
    </row>
    <row r="131" spans="1:11" x14ac:dyDescent="0.3">
      <c r="A131" s="5">
        <f>ROW() - ROW(tblOdsustva[[#Headers],[ID]])</f>
        <v>130</v>
      </c>
      <c r="B131" s="5"/>
      <c r="C131" s="5"/>
      <c r="D131" s="6"/>
      <c r="E131" s="6"/>
      <c r="F131" s="7"/>
      <c r="G131" s="7"/>
      <c r="H131" s="7"/>
      <c r="I131" s="5"/>
      <c r="K131" s="15"/>
    </row>
    <row r="132" spans="1:11" x14ac:dyDescent="0.3">
      <c r="A132" s="5">
        <f>ROW() - ROW(tblOdsustva[[#Headers],[ID]])</f>
        <v>131</v>
      </c>
      <c r="B132" s="5"/>
      <c r="C132" s="5"/>
      <c r="D132" s="6"/>
      <c r="E132" s="6"/>
      <c r="F132" s="7"/>
      <c r="G132" s="7"/>
      <c r="H132" s="7"/>
      <c r="I132" s="5"/>
      <c r="K132" s="15"/>
    </row>
    <row r="133" spans="1:11" x14ac:dyDescent="0.3">
      <c r="A133" s="5">
        <f>ROW() - ROW(tblOdsustva[[#Headers],[ID]])</f>
        <v>132</v>
      </c>
      <c r="B133" s="5"/>
      <c r="C133" s="5"/>
      <c r="D133" s="6"/>
      <c r="E133" s="6"/>
      <c r="F133" s="7"/>
      <c r="G133" s="7"/>
      <c r="H133" s="7"/>
      <c r="I133" s="5"/>
      <c r="K133" s="15"/>
    </row>
    <row r="134" spans="1:11" x14ac:dyDescent="0.3">
      <c r="A134" s="5">
        <f>ROW() - ROW(tblOdsustva[[#Headers],[ID]])</f>
        <v>133</v>
      </c>
      <c r="B134" s="5"/>
      <c r="C134" s="5"/>
      <c r="D134" s="6"/>
      <c r="E134" s="6"/>
      <c r="F134" s="7"/>
      <c r="G134" s="7"/>
      <c r="H134" s="7"/>
      <c r="I134" s="5"/>
      <c r="K134" s="15"/>
    </row>
    <row r="135" spans="1:11" x14ac:dyDescent="0.3">
      <c r="A135" s="5">
        <f>ROW() - ROW(tblOdsustva[[#Headers],[ID]])</f>
        <v>134</v>
      </c>
      <c r="B135" s="5"/>
      <c r="C135" s="5"/>
      <c r="D135" s="6"/>
      <c r="E135" s="6"/>
      <c r="F135" s="7"/>
      <c r="G135" s="7"/>
      <c r="H135" s="7"/>
      <c r="I135" s="5"/>
      <c r="K135" s="15"/>
    </row>
    <row r="136" spans="1:11" x14ac:dyDescent="0.3">
      <c r="A136" s="5">
        <f>ROW() - ROW(tblOdsustva[[#Headers],[ID]])</f>
        <v>135</v>
      </c>
      <c r="B136" s="5"/>
      <c r="C136" s="5"/>
      <c r="D136" s="6"/>
      <c r="E136" s="6"/>
      <c r="F136" s="7"/>
      <c r="G136" s="7"/>
      <c r="H136" s="7"/>
      <c r="I136" s="5"/>
      <c r="K136" s="15"/>
    </row>
    <row r="137" spans="1:11" x14ac:dyDescent="0.3">
      <c r="A137" s="5">
        <f>ROW() - ROW(tblOdsustva[[#Headers],[ID]])</f>
        <v>136</v>
      </c>
      <c r="B137" s="5"/>
      <c r="C137" s="5"/>
      <c r="D137" s="6"/>
      <c r="E137" s="6"/>
      <c r="F137" s="7"/>
      <c r="G137" s="7"/>
      <c r="H137" s="7"/>
      <c r="I137" s="5"/>
      <c r="K137" s="15"/>
    </row>
    <row r="138" spans="1:11" x14ac:dyDescent="0.3">
      <c r="A138" s="5">
        <f>ROW() - ROW(tblOdsustva[[#Headers],[ID]])</f>
        <v>137</v>
      </c>
      <c r="B138" s="5"/>
      <c r="C138" s="5"/>
      <c r="D138" s="6"/>
      <c r="E138" s="6"/>
      <c r="F138" s="7"/>
      <c r="G138" s="7"/>
      <c r="H138" s="7"/>
      <c r="I138" s="5"/>
      <c r="K138" s="15"/>
    </row>
    <row r="139" spans="1:11" x14ac:dyDescent="0.3">
      <c r="A139" s="5">
        <f>ROW() - ROW(tblOdsustva[[#Headers],[ID]])</f>
        <v>138</v>
      </c>
      <c r="B139" s="5"/>
      <c r="C139" s="5"/>
      <c r="D139" s="6"/>
      <c r="E139" s="6"/>
      <c r="F139" s="7"/>
      <c r="G139" s="7"/>
      <c r="H139" s="7"/>
      <c r="I139" s="5"/>
      <c r="K139" s="15"/>
    </row>
    <row r="140" spans="1:11" x14ac:dyDescent="0.3">
      <c r="A140" s="5">
        <f>ROW() - ROW(tblOdsustva[[#Headers],[ID]])</f>
        <v>139</v>
      </c>
      <c r="B140" s="5"/>
      <c r="C140" s="5"/>
      <c r="D140" s="6"/>
      <c r="E140" s="6"/>
      <c r="F140" s="7"/>
      <c r="G140" s="7"/>
      <c r="H140" s="7"/>
      <c r="I140" s="5"/>
      <c r="K140" s="15"/>
    </row>
    <row r="141" spans="1:11" x14ac:dyDescent="0.3">
      <c r="A141" s="5">
        <f>ROW() - ROW(tblOdsustva[[#Headers],[ID]])</f>
        <v>140</v>
      </c>
      <c r="B141" s="5"/>
      <c r="C141" s="5"/>
      <c r="D141" s="6"/>
      <c r="E141" s="6"/>
      <c r="F141" s="7"/>
      <c r="G141" s="7"/>
      <c r="H141" s="7"/>
      <c r="I141" s="5"/>
      <c r="K141" s="15"/>
    </row>
    <row r="142" spans="1:11" x14ac:dyDescent="0.3">
      <c r="A142" s="5">
        <f>ROW() - ROW(tblOdsustva[[#Headers],[ID]])</f>
        <v>141</v>
      </c>
      <c r="B142" s="5"/>
      <c r="C142" s="5"/>
      <c r="D142" s="6"/>
      <c r="E142" s="6"/>
      <c r="F142" s="7"/>
      <c r="G142" s="7"/>
      <c r="H142" s="7"/>
      <c r="I142" s="5"/>
      <c r="K142" s="15"/>
    </row>
    <row r="143" spans="1:11" x14ac:dyDescent="0.3">
      <c r="A143" s="5">
        <f>ROW() - ROW(tblOdsustva[[#Headers],[ID]])</f>
        <v>142</v>
      </c>
      <c r="B143" s="5"/>
      <c r="C143" s="5"/>
      <c r="D143" s="6"/>
      <c r="E143" s="6"/>
      <c r="F143" s="7"/>
      <c r="G143" s="7"/>
      <c r="H143" s="7"/>
      <c r="I143" s="5"/>
      <c r="K143" s="15"/>
    </row>
    <row r="144" spans="1:11" x14ac:dyDescent="0.3">
      <c r="A144" s="5">
        <f>ROW() - ROW(tblOdsustva[[#Headers],[ID]])</f>
        <v>143</v>
      </c>
      <c r="B144" s="5"/>
      <c r="C144" s="5"/>
      <c r="D144" s="6"/>
      <c r="E144" s="6"/>
      <c r="F144" s="7"/>
      <c r="G144" s="7"/>
      <c r="H144" s="7"/>
      <c r="I144" s="5"/>
      <c r="K144" s="15"/>
    </row>
    <row r="145" spans="1:11" x14ac:dyDescent="0.3">
      <c r="A145" s="5">
        <f>ROW() - ROW(tblOdsustva[[#Headers],[ID]])</f>
        <v>144</v>
      </c>
      <c r="B145" s="5"/>
      <c r="C145" s="5"/>
      <c r="D145" s="6"/>
      <c r="E145" s="6"/>
      <c r="F145" s="7"/>
      <c r="G145" s="7"/>
      <c r="H145" s="7"/>
      <c r="I145" s="5"/>
      <c r="K145" s="15"/>
    </row>
    <row r="146" spans="1:11" x14ac:dyDescent="0.3">
      <c r="A146" s="5">
        <f>ROW() - ROW(tblOdsustva[[#Headers],[ID]])</f>
        <v>145</v>
      </c>
      <c r="B146" s="5"/>
      <c r="C146" s="5"/>
      <c r="D146" s="6"/>
      <c r="E146" s="6"/>
      <c r="F146" s="7"/>
      <c r="G146" s="7"/>
      <c r="H146" s="7"/>
      <c r="I146" s="5"/>
      <c r="K146" s="15"/>
    </row>
    <row r="147" spans="1:11" x14ac:dyDescent="0.3">
      <c r="A147" s="5">
        <f>ROW() - ROW(tblOdsustva[[#Headers],[ID]])</f>
        <v>146</v>
      </c>
      <c r="B147" s="5"/>
      <c r="C147" s="5"/>
      <c r="D147" s="6"/>
      <c r="E147" s="6"/>
      <c r="F147" s="7"/>
      <c r="G147" s="7"/>
      <c r="H147" s="7"/>
      <c r="I147" s="5"/>
      <c r="K147" s="15"/>
    </row>
    <row r="148" spans="1:11" x14ac:dyDescent="0.3">
      <c r="A148" s="5">
        <f>ROW() - ROW(tblOdsustva[[#Headers],[ID]])</f>
        <v>147</v>
      </c>
      <c r="B148" s="5"/>
      <c r="C148" s="5"/>
      <c r="D148" s="6"/>
      <c r="E148" s="6"/>
      <c r="F148" s="7"/>
      <c r="G148" s="7"/>
      <c r="H148" s="7"/>
      <c r="I148" s="5"/>
      <c r="K148" s="15"/>
    </row>
    <row r="149" spans="1:11" x14ac:dyDescent="0.3">
      <c r="A149" s="5">
        <f>ROW() - ROW(tblOdsustva[[#Headers],[ID]])</f>
        <v>148</v>
      </c>
      <c r="B149" s="5"/>
      <c r="C149" s="5"/>
      <c r="D149" s="6"/>
      <c r="E149" s="6"/>
      <c r="F149" s="7"/>
      <c r="G149" s="7"/>
      <c r="H149" s="7"/>
      <c r="I149" s="5"/>
      <c r="K149" s="15"/>
    </row>
    <row r="150" spans="1:11" x14ac:dyDescent="0.3">
      <c r="A150" s="5">
        <f>ROW() - ROW(tblOdsustva[[#Headers],[ID]])</f>
        <v>149</v>
      </c>
      <c r="B150" s="5"/>
      <c r="C150" s="5"/>
      <c r="D150" s="6"/>
      <c r="E150" s="6"/>
      <c r="F150" s="7"/>
      <c r="G150" s="7"/>
      <c r="H150" s="7"/>
      <c r="I150" s="5"/>
      <c r="K150" s="15"/>
    </row>
    <row r="151" spans="1:11" x14ac:dyDescent="0.3">
      <c r="A151" s="5">
        <f>ROW() - ROW(tblOdsustva[[#Headers],[ID]])</f>
        <v>150</v>
      </c>
      <c r="B151" s="5"/>
      <c r="C151" s="5"/>
      <c r="D151" s="6"/>
      <c r="E151" s="6"/>
      <c r="F151" s="7"/>
      <c r="G151" s="7"/>
      <c r="H151" s="7"/>
      <c r="I151" s="5"/>
      <c r="K151" s="15"/>
    </row>
    <row r="152" spans="1:11" x14ac:dyDescent="0.3">
      <c r="A152" s="5">
        <f>ROW() - ROW(tblOdsustva[[#Headers],[ID]])</f>
        <v>151</v>
      </c>
      <c r="B152" s="5"/>
      <c r="C152" s="5"/>
      <c r="D152" s="6"/>
      <c r="E152" s="6"/>
      <c r="F152" s="7"/>
      <c r="G152" s="7"/>
      <c r="H152" s="7"/>
      <c r="I152" s="5"/>
      <c r="K152" s="15"/>
    </row>
    <row r="153" spans="1:11" x14ac:dyDescent="0.3">
      <c r="A153" s="5">
        <f>ROW() - ROW(tblOdsustva[[#Headers],[ID]])</f>
        <v>152</v>
      </c>
      <c r="B153" s="5"/>
      <c r="C153" s="5"/>
      <c r="D153" s="6"/>
      <c r="E153" s="6"/>
      <c r="F153" s="7"/>
      <c r="G153" s="7"/>
      <c r="H153" s="7"/>
      <c r="I153" s="5"/>
      <c r="K153" s="15"/>
    </row>
    <row r="154" spans="1:11" x14ac:dyDescent="0.3">
      <c r="A154" s="5">
        <f>ROW() - ROW(tblOdsustva[[#Headers],[ID]])</f>
        <v>153</v>
      </c>
      <c r="B154" s="5"/>
      <c r="C154" s="5"/>
      <c r="D154" s="6"/>
      <c r="E154" s="6"/>
      <c r="F154" s="7"/>
      <c r="G154" s="7"/>
      <c r="H154" s="7"/>
      <c r="I154" s="5"/>
      <c r="K154" s="15"/>
    </row>
    <row r="155" spans="1:11" x14ac:dyDescent="0.3">
      <c r="A155" s="5">
        <f>ROW() - ROW(tblOdsustva[[#Headers],[ID]])</f>
        <v>154</v>
      </c>
      <c r="B155" s="5"/>
      <c r="C155" s="5"/>
      <c r="D155" s="6"/>
      <c r="E155" s="6"/>
      <c r="F155" s="7"/>
      <c r="G155" s="7"/>
      <c r="H155" s="7"/>
      <c r="I155" s="5"/>
      <c r="K155" s="15"/>
    </row>
    <row r="156" spans="1:11" x14ac:dyDescent="0.3">
      <c r="A156" s="5">
        <f>ROW() - ROW(tblOdsustva[[#Headers],[ID]])</f>
        <v>155</v>
      </c>
      <c r="B156" s="5"/>
      <c r="C156" s="5"/>
      <c r="D156" s="6"/>
      <c r="E156" s="6"/>
      <c r="F156" s="7"/>
      <c r="G156" s="7"/>
      <c r="H156" s="7"/>
      <c r="I156" s="5"/>
      <c r="K156" s="15"/>
    </row>
    <row r="157" spans="1:11" x14ac:dyDescent="0.3">
      <c r="A157" s="5">
        <f>ROW() - ROW(tblOdsustva[[#Headers],[ID]])</f>
        <v>156</v>
      </c>
      <c r="B157" s="5"/>
      <c r="C157" s="5"/>
      <c r="D157" s="6"/>
      <c r="E157" s="6"/>
      <c r="F157" s="7"/>
      <c r="G157" s="7"/>
      <c r="H157" s="7"/>
      <c r="I157" s="5"/>
      <c r="K157" s="15"/>
    </row>
    <row r="158" spans="1:11" x14ac:dyDescent="0.3">
      <c r="A158" s="5">
        <f>ROW() - ROW(tblOdsustva[[#Headers],[ID]])</f>
        <v>157</v>
      </c>
      <c r="B158" s="5"/>
      <c r="C158" s="5"/>
      <c r="D158" s="6"/>
      <c r="E158" s="6"/>
      <c r="F158" s="7"/>
      <c r="G158" s="7"/>
      <c r="H158" s="7"/>
      <c r="I158" s="5"/>
      <c r="K158" s="15"/>
    </row>
    <row r="159" spans="1:11" x14ac:dyDescent="0.3">
      <c r="A159" s="5">
        <f>ROW() - ROW(tblOdsustva[[#Headers],[ID]])</f>
        <v>158</v>
      </c>
      <c r="B159" s="5"/>
      <c r="C159" s="5"/>
      <c r="D159" s="6"/>
      <c r="E159" s="6"/>
      <c r="F159" s="7"/>
      <c r="G159" s="7"/>
      <c r="H159" s="7"/>
      <c r="I159" s="5"/>
      <c r="K159" s="15"/>
    </row>
    <row r="160" spans="1:11" x14ac:dyDescent="0.3">
      <c r="A160" s="5">
        <f>ROW() - ROW(tblOdsustva[[#Headers],[ID]])</f>
        <v>159</v>
      </c>
      <c r="B160" s="5"/>
      <c r="C160" s="5"/>
      <c r="D160" s="6"/>
      <c r="E160" s="6"/>
      <c r="F160" s="7"/>
      <c r="G160" s="7"/>
      <c r="H160" s="7"/>
      <c r="I160" s="5"/>
      <c r="K160" s="15"/>
    </row>
    <row r="161" spans="1:11" x14ac:dyDescent="0.3">
      <c r="A161" s="5">
        <f>ROW() - ROW(tblOdsustva[[#Headers],[ID]])</f>
        <v>160</v>
      </c>
      <c r="B161" s="5"/>
      <c r="C161" s="5"/>
      <c r="D161" s="6"/>
      <c r="E161" s="6"/>
      <c r="F161" s="7"/>
      <c r="G161" s="7"/>
      <c r="H161" s="7"/>
      <c r="I161" s="5"/>
      <c r="K161" s="15"/>
    </row>
    <row r="162" spans="1:11" x14ac:dyDescent="0.3">
      <c r="A162" s="5">
        <f>ROW() - ROW(tblOdsustva[[#Headers],[ID]])</f>
        <v>161</v>
      </c>
      <c r="B162" s="5"/>
      <c r="C162" s="5"/>
      <c r="D162" s="6"/>
      <c r="E162" s="6"/>
      <c r="F162" s="7"/>
      <c r="G162" s="7"/>
      <c r="H162" s="7"/>
      <c r="I162" s="5"/>
      <c r="K162" s="15"/>
    </row>
    <row r="163" spans="1:11" x14ac:dyDescent="0.3">
      <c r="A163" s="5">
        <f>ROW() - ROW(tblOdsustva[[#Headers],[ID]])</f>
        <v>162</v>
      </c>
      <c r="B163" s="5"/>
      <c r="C163" s="5"/>
      <c r="D163" s="6"/>
      <c r="E163" s="6"/>
      <c r="F163" s="7"/>
      <c r="G163" s="7"/>
      <c r="H163" s="7"/>
      <c r="I163" s="5"/>
      <c r="K163" s="15"/>
    </row>
    <row r="164" spans="1:11" x14ac:dyDescent="0.3">
      <c r="A164" s="5">
        <f>ROW() - ROW(tblOdsustva[[#Headers],[ID]])</f>
        <v>163</v>
      </c>
      <c r="B164" s="5"/>
      <c r="C164" s="5"/>
      <c r="D164" s="6"/>
      <c r="E164" s="6"/>
      <c r="F164" s="7"/>
      <c r="G164" s="7"/>
      <c r="H164" s="7"/>
      <c r="I164" s="5"/>
      <c r="K164" s="15"/>
    </row>
    <row r="165" spans="1:11" x14ac:dyDescent="0.3">
      <c r="A165" s="5">
        <f>ROW() - ROW(tblOdsustva[[#Headers],[ID]])</f>
        <v>164</v>
      </c>
      <c r="B165" s="5"/>
      <c r="C165" s="5"/>
      <c r="D165" s="6"/>
      <c r="E165" s="6"/>
      <c r="F165" s="7"/>
      <c r="G165" s="7"/>
      <c r="H165" s="7"/>
      <c r="I165" s="5"/>
      <c r="K165" s="15"/>
    </row>
    <row r="166" spans="1:11" x14ac:dyDescent="0.3">
      <c r="A166" s="5">
        <f>ROW() - ROW(tblOdsustva[[#Headers],[ID]])</f>
        <v>165</v>
      </c>
      <c r="B166" s="5"/>
      <c r="C166" s="5"/>
      <c r="D166" s="6"/>
      <c r="E166" s="6"/>
      <c r="F166" s="7"/>
      <c r="G166" s="7"/>
      <c r="H166" s="7"/>
      <c r="I166" s="5"/>
      <c r="K166" s="15"/>
    </row>
    <row r="167" spans="1:11" x14ac:dyDescent="0.3">
      <c r="A167" s="5">
        <f>ROW() - ROW(tblOdsustva[[#Headers],[ID]])</f>
        <v>166</v>
      </c>
      <c r="B167" s="5"/>
      <c r="C167" s="5"/>
      <c r="D167" s="6"/>
      <c r="E167" s="6"/>
      <c r="F167" s="7"/>
      <c r="G167" s="7"/>
      <c r="H167" s="7"/>
      <c r="I167" s="5"/>
      <c r="K167" s="15"/>
    </row>
    <row r="168" spans="1:11" x14ac:dyDescent="0.3">
      <c r="A168" s="5">
        <f>ROW() - ROW(tblOdsustva[[#Headers],[ID]])</f>
        <v>167</v>
      </c>
      <c r="B168" s="5"/>
      <c r="C168" s="5"/>
      <c r="D168" s="6"/>
      <c r="E168" s="6"/>
      <c r="F168" s="7"/>
      <c r="G168" s="7"/>
      <c r="H168" s="7"/>
      <c r="I168" s="5"/>
      <c r="K168" s="15"/>
    </row>
    <row r="169" spans="1:11" x14ac:dyDescent="0.3">
      <c r="A169" s="5">
        <f>ROW() - ROW(tblOdsustva[[#Headers],[ID]])</f>
        <v>168</v>
      </c>
      <c r="B169" s="5"/>
      <c r="C169" s="5"/>
      <c r="D169" s="6"/>
      <c r="E169" s="6"/>
      <c r="F169" s="7"/>
      <c r="G169" s="7"/>
      <c r="H169" s="7"/>
      <c r="I169" s="5"/>
      <c r="K169" s="15"/>
    </row>
    <row r="170" spans="1:11" x14ac:dyDescent="0.3">
      <c r="A170" s="5">
        <f>ROW() - ROW(tblOdsustva[[#Headers],[ID]])</f>
        <v>169</v>
      </c>
      <c r="B170" s="5"/>
      <c r="C170" s="5"/>
      <c r="D170" s="6"/>
      <c r="E170" s="6"/>
      <c r="F170" s="7"/>
      <c r="G170" s="7"/>
      <c r="H170" s="7"/>
      <c r="I170" s="5"/>
      <c r="K170" s="15"/>
    </row>
    <row r="171" spans="1:11" x14ac:dyDescent="0.3">
      <c r="A171" s="5">
        <f>ROW() - ROW(tblOdsustva[[#Headers],[ID]])</f>
        <v>170</v>
      </c>
      <c r="B171" s="5"/>
      <c r="C171" s="5"/>
      <c r="D171" s="6"/>
      <c r="E171" s="6"/>
      <c r="F171" s="7"/>
      <c r="G171" s="7"/>
      <c r="H171" s="7"/>
      <c r="I171" s="5"/>
      <c r="K171" s="15"/>
    </row>
    <row r="172" spans="1:11" x14ac:dyDescent="0.3">
      <c r="A172" s="5">
        <f>ROW() - ROW(tblOdsustva[[#Headers],[ID]])</f>
        <v>171</v>
      </c>
      <c r="B172" s="5"/>
      <c r="C172" s="5"/>
      <c r="D172" s="6"/>
      <c r="E172" s="6"/>
      <c r="F172" s="7"/>
      <c r="G172" s="7"/>
      <c r="H172" s="7"/>
      <c r="I172" s="5"/>
      <c r="K172" s="15"/>
    </row>
    <row r="173" spans="1:11" x14ac:dyDescent="0.3">
      <c r="A173" s="5">
        <f>ROW() - ROW(tblOdsustva[[#Headers],[ID]])</f>
        <v>172</v>
      </c>
      <c r="B173" s="5"/>
      <c r="C173" s="5"/>
      <c r="D173" s="6"/>
      <c r="E173" s="6"/>
      <c r="F173" s="7"/>
      <c r="G173" s="7"/>
      <c r="H173" s="7"/>
      <c r="I173" s="5"/>
      <c r="K173" s="15"/>
    </row>
    <row r="174" spans="1:11" x14ac:dyDescent="0.3">
      <c r="A174" s="5">
        <f>ROW() - ROW(tblOdsustva[[#Headers],[ID]])</f>
        <v>173</v>
      </c>
      <c r="B174" s="5"/>
      <c r="C174" s="5"/>
      <c r="D174" s="6"/>
      <c r="E174" s="6"/>
      <c r="F174" s="7"/>
      <c r="G174" s="7"/>
      <c r="H174" s="7"/>
      <c r="I174" s="5"/>
      <c r="K174" s="15"/>
    </row>
    <row r="175" spans="1:11" x14ac:dyDescent="0.3">
      <c r="A175" s="5">
        <f>ROW() - ROW(tblOdsustva[[#Headers],[ID]])</f>
        <v>174</v>
      </c>
      <c r="B175" s="5"/>
      <c r="C175" s="5"/>
      <c r="D175" s="6"/>
      <c r="E175" s="6"/>
      <c r="F175" s="7"/>
      <c r="G175" s="7"/>
      <c r="H175" s="7"/>
      <c r="I175" s="5"/>
      <c r="K175" s="15"/>
    </row>
    <row r="176" spans="1:11" x14ac:dyDescent="0.3">
      <c r="A176" s="5">
        <f>ROW() - ROW(tblOdsustva[[#Headers],[ID]])</f>
        <v>175</v>
      </c>
      <c r="B176" s="5"/>
      <c r="C176" s="5"/>
      <c r="D176" s="6"/>
      <c r="E176" s="6"/>
      <c r="F176" s="7"/>
      <c r="G176" s="7"/>
      <c r="H176" s="7"/>
      <c r="I176" s="5"/>
      <c r="K176" s="15"/>
    </row>
    <row r="177" spans="1:11" x14ac:dyDescent="0.3">
      <c r="A177" s="5">
        <f>ROW() - ROW(tblOdsustva[[#Headers],[ID]])</f>
        <v>176</v>
      </c>
      <c r="B177" s="5"/>
      <c r="C177" s="5"/>
      <c r="D177" s="6"/>
      <c r="E177" s="6"/>
      <c r="F177" s="7"/>
      <c r="G177" s="7"/>
      <c r="H177" s="7"/>
      <c r="I177" s="5"/>
      <c r="K177" s="15"/>
    </row>
    <row r="178" spans="1:11" x14ac:dyDescent="0.3">
      <c r="A178" s="5">
        <f>ROW() - ROW(tblOdsustva[[#Headers],[ID]])</f>
        <v>177</v>
      </c>
      <c r="B178" s="5"/>
      <c r="C178" s="5"/>
      <c r="D178" s="6"/>
      <c r="E178" s="6"/>
      <c r="F178" s="7"/>
      <c r="G178" s="7"/>
      <c r="H178" s="7"/>
      <c r="I178" s="5"/>
      <c r="K178" s="15"/>
    </row>
    <row r="179" spans="1:11" x14ac:dyDescent="0.3">
      <c r="A179" s="5">
        <f>ROW() - ROW(tblOdsustva[[#Headers],[ID]])</f>
        <v>178</v>
      </c>
      <c r="B179" s="5"/>
      <c r="C179" s="5"/>
      <c r="D179" s="6"/>
      <c r="E179" s="6"/>
      <c r="F179" s="7"/>
      <c r="G179" s="7"/>
      <c r="H179" s="7"/>
      <c r="I179" s="5"/>
      <c r="K179" s="15"/>
    </row>
    <row r="180" spans="1:11" x14ac:dyDescent="0.3">
      <c r="A180" s="5">
        <f>ROW() - ROW(tblOdsustva[[#Headers],[ID]])</f>
        <v>179</v>
      </c>
      <c r="B180" s="5"/>
      <c r="C180" s="5"/>
      <c r="D180" s="6"/>
      <c r="E180" s="6"/>
      <c r="F180" s="7"/>
      <c r="G180" s="7"/>
      <c r="H180" s="7"/>
      <c r="I180" s="5"/>
      <c r="K180" s="15"/>
    </row>
    <row r="181" spans="1:11" x14ac:dyDescent="0.3">
      <c r="A181" s="5">
        <f>ROW() - ROW(tblOdsustva[[#Headers],[ID]])</f>
        <v>180</v>
      </c>
      <c r="B181" s="5"/>
      <c r="C181" s="5"/>
      <c r="D181" s="6"/>
      <c r="E181" s="6"/>
      <c r="F181" s="7"/>
      <c r="G181" s="7"/>
      <c r="H181" s="7"/>
      <c r="I181" s="5"/>
      <c r="K181" s="15"/>
    </row>
    <row r="182" spans="1:11" x14ac:dyDescent="0.3">
      <c r="A182" s="5">
        <f>ROW() - ROW(tblOdsustva[[#Headers],[ID]])</f>
        <v>181</v>
      </c>
      <c r="B182" s="5"/>
      <c r="C182" s="5"/>
      <c r="D182" s="6"/>
      <c r="E182" s="6"/>
      <c r="F182" s="7"/>
      <c r="G182" s="7"/>
      <c r="H182" s="7"/>
      <c r="I182" s="5"/>
      <c r="K182" s="15"/>
    </row>
    <row r="183" spans="1:11" x14ac:dyDescent="0.3">
      <c r="A183" s="5">
        <f>ROW() - ROW(tblOdsustva[[#Headers],[ID]])</f>
        <v>182</v>
      </c>
      <c r="B183" s="5"/>
      <c r="C183" s="5"/>
      <c r="D183" s="6"/>
      <c r="E183" s="6"/>
      <c r="F183" s="7"/>
      <c r="G183" s="7"/>
      <c r="H183" s="7"/>
      <c r="I183" s="5"/>
      <c r="K183" s="15"/>
    </row>
    <row r="184" spans="1:11" x14ac:dyDescent="0.3">
      <c r="A184" s="5">
        <f>ROW() - ROW(tblOdsustva[[#Headers],[ID]])</f>
        <v>183</v>
      </c>
      <c r="B184" s="5"/>
      <c r="C184" s="5"/>
      <c r="D184" s="6"/>
      <c r="E184" s="6"/>
      <c r="F184" s="7"/>
      <c r="G184" s="7"/>
      <c r="H184" s="7"/>
      <c r="I184" s="5"/>
      <c r="K184" s="15"/>
    </row>
    <row r="185" spans="1:11" x14ac:dyDescent="0.3">
      <c r="A185" s="5">
        <f>ROW() - ROW(tblOdsustva[[#Headers],[ID]])</f>
        <v>184</v>
      </c>
      <c r="B185" s="5"/>
      <c r="C185" s="5"/>
      <c r="D185" s="6"/>
      <c r="E185" s="6"/>
      <c r="F185" s="7"/>
      <c r="G185" s="7"/>
      <c r="H185" s="7"/>
      <c r="I185" s="5"/>
      <c r="K185" s="15"/>
    </row>
    <row r="186" spans="1:11" x14ac:dyDescent="0.3">
      <c r="A186" s="5">
        <f>ROW() - ROW(tblOdsustva[[#Headers],[ID]])</f>
        <v>185</v>
      </c>
      <c r="B186" s="5"/>
      <c r="C186" s="5"/>
      <c r="D186" s="6"/>
      <c r="E186" s="6"/>
      <c r="F186" s="7"/>
      <c r="G186" s="7"/>
      <c r="H186" s="7"/>
      <c r="I186" s="5"/>
      <c r="K186" s="15"/>
    </row>
    <row r="187" spans="1:11" x14ac:dyDescent="0.3">
      <c r="A187" s="5">
        <f>ROW() - ROW(tblOdsustva[[#Headers],[ID]])</f>
        <v>186</v>
      </c>
      <c r="B187" s="5"/>
      <c r="C187" s="5"/>
      <c r="D187" s="6"/>
      <c r="E187" s="6"/>
      <c r="F187" s="7"/>
      <c r="G187" s="7"/>
      <c r="H187" s="7"/>
      <c r="I187" s="5"/>
      <c r="K187" s="15"/>
    </row>
    <row r="188" spans="1:11" x14ac:dyDescent="0.3">
      <c r="A188" s="5">
        <f>ROW() - ROW(tblOdsustva[[#Headers],[ID]])</f>
        <v>187</v>
      </c>
      <c r="B188" s="5"/>
      <c r="C188" s="5"/>
      <c r="D188" s="6"/>
      <c r="E188" s="6"/>
      <c r="F188" s="7"/>
      <c r="G188" s="7"/>
      <c r="H188" s="7"/>
      <c r="I188" s="5"/>
      <c r="K188" s="15"/>
    </row>
    <row r="189" spans="1:11" x14ac:dyDescent="0.3">
      <c r="A189" s="5">
        <f>ROW() - ROW(tblOdsustva[[#Headers],[ID]])</f>
        <v>188</v>
      </c>
      <c r="B189" s="5"/>
      <c r="C189" s="5"/>
      <c r="D189" s="6"/>
      <c r="E189" s="6"/>
      <c r="F189" s="7"/>
      <c r="G189" s="7"/>
      <c r="H189" s="7"/>
      <c r="I189" s="5"/>
      <c r="K189" s="15"/>
    </row>
    <row r="190" spans="1:11" x14ac:dyDescent="0.3">
      <c r="A190" s="5">
        <f>ROW() - ROW(tblOdsustva[[#Headers],[ID]])</f>
        <v>189</v>
      </c>
      <c r="B190" s="5"/>
      <c r="C190" s="5"/>
      <c r="D190" s="6"/>
      <c r="E190" s="6"/>
      <c r="F190" s="7"/>
      <c r="G190" s="7"/>
      <c r="H190" s="7"/>
      <c r="I190" s="5"/>
      <c r="K190" s="15"/>
    </row>
    <row r="191" spans="1:11" x14ac:dyDescent="0.3">
      <c r="A191" s="5">
        <f>ROW() - ROW(tblOdsustva[[#Headers],[ID]])</f>
        <v>190</v>
      </c>
      <c r="B191" s="5"/>
      <c r="C191" s="5"/>
      <c r="D191" s="6"/>
      <c r="E191" s="6"/>
      <c r="F191" s="7"/>
      <c r="G191" s="7"/>
      <c r="H191" s="7"/>
      <c r="I191" s="5"/>
      <c r="K191" s="15"/>
    </row>
    <row r="192" spans="1:11" x14ac:dyDescent="0.3">
      <c r="A192" s="5">
        <f>ROW() - ROW(tblOdsustva[[#Headers],[ID]])</f>
        <v>191</v>
      </c>
      <c r="B192" s="5"/>
      <c r="C192" s="5"/>
      <c r="D192" s="6"/>
      <c r="E192" s="6"/>
      <c r="F192" s="7"/>
      <c r="G192" s="7"/>
      <c r="H192" s="7"/>
      <c r="I192" s="5"/>
      <c r="K192" s="15"/>
    </row>
    <row r="193" spans="1:11" x14ac:dyDescent="0.3">
      <c r="A193" s="5">
        <f>ROW() - ROW(tblOdsustva[[#Headers],[ID]])</f>
        <v>192</v>
      </c>
      <c r="B193" s="5"/>
      <c r="C193" s="5"/>
      <c r="D193" s="6"/>
      <c r="E193" s="6"/>
      <c r="F193" s="7"/>
      <c r="G193" s="7"/>
      <c r="H193" s="7"/>
      <c r="I193" s="5"/>
      <c r="K193" s="15"/>
    </row>
    <row r="194" spans="1:11" x14ac:dyDescent="0.3">
      <c r="A194" s="5">
        <f>ROW() - ROW(tblOdsustva[[#Headers],[ID]])</f>
        <v>193</v>
      </c>
      <c r="B194" s="5"/>
      <c r="C194" s="5"/>
      <c r="D194" s="6"/>
      <c r="E194" s="6"/>
      <c r="F194" s="7"/>
      <c r="G194" s="7"/>
      <c r="H194" s="7"/>
      <c r="I194" s="5"/>
      <c r="K194" s="15"/>
    </row>
    <row r="195" spans="1:11" x14ac:dyDescent="0.3">
      <c r="A195" s="5">
        <f>ROW() - ROW(tblOdsustva[[#Headers],[ID]])</f>
        <v>194</v>
      </c>
      <c r="B195" s="5"/>
      <c r="C195" s="5"/>
      <c r="D195" s="6"/>
      <c r="E195" s="6"/>
      <c r="F195" s="7"/>
      <c r="G195" s="7"/>
      <c r="H195" s="7"/>
      <c r="I195" s="5"/>
      <c r="K195" s="15"/>
    </row>
    <row r="196" spans="1:11" x14ac:dyDescent="0.3">
      <c r="A196" s="5">
        <f>ROW() - ROW(tblOdsustva[[#Headers],[ID]])</f>
        <v>195</v>
      </c>
      <c r="B196" s="5"/>
      <c r="C196" s="5"/>
      <c r="D196" s="6"/>
      <c r="E196" s="6"/>
      <c r="F196" s="7"/>
      <c r="G196" s="7"/>
      <c r="H196" s="7"/>
      <c r="I196" s="5"/>
      <c r="K196" s="15"/>
    </row>
    <row r="197" spans="1:11" x14ac:dyDescent="0.3">
      <c r="A197" s="5">
        <f>ROW() - ROW(tblOdsustva[[#Headers],[ID]])</f>
        <v>196</v>
      </c>
      <c r="B197" s="5"/>
      <c r="C197" s="5"/>
      <c r="D197" s="6"/>
      <c r="E197" s="6"/>
      <c r="F197" s="7"/>
      <c r="G197" s="7"/>
      <c r="H197" s="7"/>
      <c r="I197" s="5"/>
      <c r="K197" s="15"/>
    </row>
    <row r="198" spans="1:11" x14ac:dyDescent="0.3">
      <c r="A198" s="5">
        <f>ROW() - ROW(tblOdsustva[[#Headers],[ID]])</f>
        <v>197</v>
      </c>
      <c r="B198" s="5"/>
      <c r="C198" s="5"/>
      <c r="D198" s="6"/>
      <c r="E198" s="6"/>
      <c r="F198" s="7"/>
      <c r="G198" s="7"/>
      <c r="H198" s="7"/>
      <c r="I198" s="5"/>
      <c r="K198" s="15"/>
    </row>
    <row r="199" spans="1:11" x14ac:dyDescent="0.3">
      <c r="A199" s="5">
        <f>ROW() - ROW(tblOdsustva[[#Headers],[ID]])</f>
        <v>198</v>
      </c>
      <c r="B199" s="5"/>
      <c r="C199" s="5"/>
      <c r="D199" s="6"/>
      <c r="E199" s="6"/>
      <c r="F199" s="7"/>
      <c r="G199" s="7"/>
      <c r="H199" s="7"/>
      <c r="I199" s="5"/>
      <c r="K199" s="15"/>
    </row>
    <row r="200" spans="1:11" x14ac:dyDescent="0.3">
      <c r="A200" s="5">
        <f>ROW() - ROW(tblOdsustva[[#Headers],[ID]])</f>
        <v>199</v>
      </c>
      <c r="B200" s="5"/>
      <c r="C200" s="5"/>
      <c r="D200" s="6"/>
      <c r="E200" s="6"/>
      <c r="F200" s="7"/>
      <c r="G200" s="7"/>
      <c r="H200" s="7"/>
      <c r="I200" s="5"/>
      <c r="K200" s="15"/>
    </row>
    <row r="201" spans="1:11" x14ac:dyDescent="0.3">
      <c r="A201">
        <f>ROW() - ROW(tblOdsustva[[#Headers],[ID]])</f>
        <v>200</v>
      </c>
      <c r="K201" s="15"/>
    </row>
    <row r="202" spans="1:11" x14ac:dyDescent="0.3">
      <c r="A202">
        <f>ROW() - ROW(tblOdsustva[[#Headers],[ID]])</f>
        <v>201</v>
      </c>
      <c r="K202" s="15"/>
    </row>
    <row r="203" spans="1:11" x14ac:dyDescent="0.3">
      <c r="A203">
        <f>ROW() - ROW(tblOdsustva[[#Headers],[ID]])</f>
        <v>202</v>
      </c>
      <c r="K203" s="15"/>
    </row>
    <row r="204" spans="1:11" x14ac:dyDescent="0.3">
      <c r="A204">
        <f>ROW() - ROW(tblOdsustva[[#Headers],[ID]])</f>
        <v>203</v>
      </c>
      <c r="K204" s="15"/>
    </row>
    <row r="205" spans="1:11" x14ac:dyDescent="0.3">
      <c r="A205">
        <f>ROW() - ROW(tblOdsustva[[#Headers],[ID]])</f>
        <v>204</v>
      </c>
      <c r="K205" s="15"/>
    </row>
    <row r="206" spans="1:11" x14ac:dyDescent="0.3">
      <c r="A206">
        <f>ROW() - ROW(tblOdsustva[[#Headers],[ID]])</f>
        <v>205</v>
      </c>
      <c r="K206" s="15"/>
    </row>
    <row r="207" spans="1:11" x14ac:dyDescent="0.3">
      <c r="A207">
        <f>ROW() - ROW(tblOdsustva[[#Headers],[ID]])</f>
        <v>206</v>
      </c>
      <c r="K207" s="15"/>
    </row>
    <row r="208" spans="1:11" x14ac:dyDescent="0.3">
      <c r="A208">
        <f>ROW() - ROW(tblOdsustva[[#Headers],[ID]])</f>
        <v>207</v>
      </c>
      <c r="K208" s="15"/>
    </row>
    <row r="209" spans="1:11" x14ac:dyDescent="0.3">
      <c r="A209">
        <f>ROW() - ROW(tblOdsustva[[#Headers],[ID]])</f>
        <v>208</v>
      </c>
      <c r="K209" s="15"/>
    </row>
    <row r="210" spans="1:11" x14ac:dyDescent="0.3">
      <c r="A210">
        <f>ROW() - ROW(tblOdsustva[[#Headers],[ID]])</f>
        <v>209</v>
      </c>
      <c r="K210" s="15"/>
    </row>
    <row r="211" spans="1:11" x14ac:dyDescent="0.3">
      <c r="A211">
        <f>ROW() - ROW(tblOdsustva[[#Headers],[ID]])</f>
        <v>210</v>
      </c>
      <c r="K211" s="15"/>
    </row>
    <row r="212" spans="1:11" x14ac:dyDescent="0.3">
      <c r="A212">
        <f>ROW() - ROW(tblOdsustva[[#Headers],[ID]])</f>
        <v>211</v>
      </c>
      <c r="K212" s="15"/>
    </row>
    <row r="213" spans="1:11" x14ac:dyDescent="0.3">
      <c r="A213">
        <f>ROW() - ROW(tblOdsustva[[#Headers],[ID]])</f>
        <v>212</v>
      </c>
      <c r="K213" s="15"/>
    </row>
    <row r="214" spans="1:11" x14ac:dyDescent="0.3">
      <c r="A214">
        <f>ROW() - ROW(tblOdsustva[[#Headers],[ID]])</f>
        <v>213</v>
      </c>
      <c r="K214" s="15"/>
    </row>
    <row r="215" spans="1:11" x14ac:dyDescent="0.3">
      <c r="A215">
        <f>ROW() - ROW(tblOdsustva[[#Headers],[ID]])</f>
        <v>214</v>
      </c>
      <c r="K215" s="15"/>
    </row>
    <row r="216" spans="1:11" x14ac:dyDescent="0.3">
      <c r="A216">
        <f>ROW() - ROW(tblOdsustva[[#Headers],[ID]])</f>
        <v>215</v>
      </c>
      <c r="K216" s="15"/>
    </row>
    <row r="217" spans="1:11" x14ac:dyDescent="0.3">
      <c r="A217">
        <f>ROW() - ROW(tblOdsustva[[#Headers],[ID]])</f>
        <v>216</v>
      </c>
      <c r="K217" s="15"/>
    </row>
    <row r="218" spans="1:11" x14ac:dyDescent="0.3">
      <c r="A218">
        <f>ROW() - ROW(tblOdsustva[[#Headers],[ID]])</f>
        <v>217</v>
      </c>
      <c r="K218" s="15"/>
    </row>
    <row r="219" spans="1:11" x14ac:dyDescent="0.3">
      <c r="A219">
        <f>ROW() - ROW(tblOdsustva[[#Headers],[ID]])</f>
        <v>218</v>
      </c>
      <c r="K219" s="15"/>
    </row>
    <row r="220" spans="1:11" x14ac:dyDescent="0.3">
      <c r="A220">
        <f>ROW() - ROW(tblOdsustva[[#Headers],[ID]])</f>
        <v>219</v>
      </c>
      <c r="K220" s="15"/>
    </row>
    <row r="221" spans="1:11" x14ac:dyDescent="0.3">
      <c r="A221">
        <f>ROW() - ROW(tblOdsustva[[#Headers],[ID]])</f>
        <v>220</v>
      </c>
      <c r="K221" s="15"/>
    </row>
    <row r="222" spans="1:11" x14ac:dyDescent="0.3">
      <c r="A222">
        <f>ROW() - ROW(tblOdsustva[[#Headers],[ID]])</f>
        <v>221</v>
      </c>
      <c r="K222" s="15"/>
    </row>
    <row r="223" spans="1:11" x14ac:dyDescent="0.3">
      <c r="A223">
        <f>ROW() - ROW(tblOdsustva[[#Headers],[ID]])</f>
        <v>222</v>
      </c>
      <c r="K223" s="15"/>
    </row>
    <row r="224" spans="1:11" x14ac:dyDescent="0.3">
      <c r="A224">
        <f>ROW() - ROW(tblOdsustva[[#Headers],[ID]])</f>
        <v>223</v>
      </c>
      <c r="K224" s="15"/>
    </row>
    <row r="225" spans="1:11" x14ac:dyDescent="0.3">
      <c r="A225">
        <f>ROW() - ROW(tblOdsustva[[#Headers],[ID]])</f>
        <v>224</v>
      </c>
      <c r="K225" s="15"/>
    </row>
    <row r="226" spans="1:11" x14ac:dyDescent="0.3">
      <c r="A226">
        <f>ROW() - ROW(tblOdsustva[[#Headers],[ID]])</f>
        <v>225</v>
      </c>
      <c r="K226" s="15"/>
    </row>
    <row r="227" spans="1:11" x14ac:dyDescent="0.3">
      <c r="A227">
        <f>ROW() - ROW(tblOdsustva[[#Headers],[ID]])</f>
        <v>226</v>
      </c>
      <c r="K227" s="15"/>
    </row>
    <row r="228" spans="1:11" x14ac:dyDescent="0.3">
      <c r="A228">
        <f>ROW() - ROW(tblOdsustva[[#Headers],[ID]])</f>
        <v>227</v>
      </c>
      <c r="K228" s="15"/>
    </row>
    <row r="229" spans="1:11" x14ac:dyDescent="0.3">
      <c r="A229">
        <f>ROW() - ROW(tblOdsustva[[#Headers],[ID]])</f>
        <v>228</v>
      </c>
      <c r="K229" s="15"/>
    </row>
    <row r="230" spans="1:11" x14ac:dyDescent="0.3">
      <c r="A230">
        <f>ROW() - ROW(tblOdsustva[[#Headers],[ID]])</f>
        <v>229</v>
      </c>
      <c r="K230" s="15"/>
    </row>
    <row r="231" spans="1:11" x14ac:dyDescent="0.3">
      <c r="A231">
        <f>ROW() - ROW(tblOdsustva[[#Headers],[ID]])</f>
        <v>230</v>
      </c>
      <c r="K231" s="15"/>
    </row>
    <row r="232" spans="1:11" x14ac:dyDescent="0.3">
      <c r="A232">
        <f>ROW() - ROW(tblOdsustva[[#Headers],[ID]])</f>
        <v>231</v>
      </c>
      <c r="K232" s="15"/>
    </row>
    <row r="233" spans="1:11" x14ac:dyDescent="0.3">
      <c r="A233">
        <f>ROW() - ROW(tblOdsustva[[#Headers],[ID]])</f>
        <v>232</v>
      </c>
      <c r="K233" s="15"/>
    </row>
    <row r="234" spans="1:11" x14ac:dyDescent="0.3">
      <c r="A234">
        <f>ROW() - ROW(tblOdsustva[[#Headers],[ID]])</f>
        <v>233</v>
      </c>
      <c r="K234" s="15"/>
    </row>
    <row r="235" spans="1:11" x14ac:dyDescent="0.3">
      <c r="A235">
        <f>ROW() - ROW(tblOdsustva[[#Headers],[ID]])</f>
        <v>234</v>
      </c>
      <c r="K235" s="15"/>
    </row>
    <row r="236" spans="1:11" x14ac:dyDescent="0.3">
      <c r="A236">
        <f>ROW() - ROW(tblOdsustva[[#Headers],[ID]])</f>
        <v>235</v>
      </c>
      <c r="K236" s="15"/>
    </row>
    <row r="237" spans="1:11" x14ac:dyDescent="0.3">
      <c r="A237">
        <f>ROW() - ROW(tblOdsustva[[#Headers],[ID]])</f>
        <v>236</v>
      </c>
      <c r="K237" s="15"/>
    </row>
    <row r="238" spans="1:11" x14ac:dyDescent="0.3">
      <c r="A238">
        <f>ROW() - ROW(tblOdsustva[[#Headers],[ID]])</f>
        <v>237</v>
      </c>
      <c r="K238" s="15"/>
    </row>
    <row r="239" spans="1:11" x14ac:dyDescent="0.3">
      <c r="A239">
        <f>ROW() - ROW(tblOdsustva[[#Headers],[ID]])</f>
        <v>238</v>
      </c>
      <c r="K239" s="15"/>
    </row>
    <row r="240" spans="1:11" x14ac:dyDescent="0.3">
      <c r="A240">
        <f>ROW() - ROW(tblOdsustva[[#Headers],[ID]])</f>
        <v>239</v>
      </c>
      <c r="K240" s="15"/>
    </row>
    <row r="241" spans="1:11" x14ac:dyDescent="0.3">
      <c r="A241">
        <f>ROW() - ROW(tblOdsustva[[#Headers],[ID]])</f>
        <v>240</v>
      </c>
      <c r="K241" s="15"/>
    </row>
    <row r="242" spans="1:11" x14ac:dyDescent="0.3">
      <c r="A242">
        <f>ROW() - ROW(tblOdsustva[[#Headers],[ID]])</f>
        <v>241</v>
      </c>
      <c r="K242" s="15"/>
    </row>
    <row r="243" spans="1:11" x14ac:dyDescent="0.3">
      <c r="A243">
        <f>ROW() - ROW(tblOdsustva[[#Headers],[ID]])</f>
        <v>242</v>
      </c>
      <c r="K243" s="15"/>
    </row>
    <row r="244" spans="1:11" x14ac:dyDescent="0.3">
      <c r="A244">
        <f>ROW() - ROW(tblOdsustva[[#Headers],[ID]])</f>
        <v>243</v>
      </c>
      <c r="K244" s="15"/>
    </row>
    <row r="245" spans="1:11" x14ac:dyDescent="0.3">
      <c r="A245">
        <f>ROW() - ROW(tblOdsustva[[#Headers],[ID]])</f>
        <v>244</v>
      </c>
      <c r="K245" s="15"/>
    </row>
    <row r="246" spans="1:11" x14ac:dyDescent="0.3">
      <c r="A246">
        <f>ROW() - ROW(tblOdsustva[[#Headers],[ID]])</f>
        <v>245</v>
      </c>
      <c r="K246" s="15"/>
    </row>
    <row r="247" spans="1:11" x14ac:dyDescent="0.3">
      <c r="A247">
        <f>ROW() - ROW(tblOdsustva[[#Headers],[ID]])</f>
        <v>246</v>
      </c>
      <c r="K247" s="15"/>
    </row>
    <row r="248" spans="1:11" x14ac:dyDescent="0.3">
      <c r="A248">
        <f>ROW() - ROW(tblOdsustva[[#Headers],[ID]])</f>
        <v>247</v>
      </c>
      <c r="K248" s="15"/>
    </row>
    <row r="249" spans="1:11" x14ac:dyDescent="0.3">
      <c r="A249">
        <f>ROW() - ROW(tblOdsustva[[#Headers],[ID]])</f>
        <v>248</v>
      </c>
      <c r="K249" s="15"/>
    </row>
    <row r="250" spans="1:11" x14ac:dyDescent="0.3">
      <c r="A250">
        <f>ROW() - ROW(tblOdsustva[[#Headers],[ID]])</f>
        <v>249</v>
      </c>
      <c r="K250" s="15"/>
    </row>
    <row r="251" spans="1:11" x14ac:dyDescent="0.3">
      <c r="A251">
        <f>ROW() - ROW(tblOdsustva[[#Headers],[ID]])</f>
        <v>250</v>
      </c>
      <c r="K251" s="15"/>
    </row>
    <row r="252" spans="1:11" x14ac:dyDescent="0.3">
      <c r="A252">
        <f>ROW() - ROW(tblOdsustva[[#Headers],[ID]])</f>
        <v>251</v>
      </c>
      <c r="K252" s="15"/>
    </row>
    <row r="253" spans="1:11" x14ac:dyDescent="0.3">
      <c r="A253">
        <f>ROW() - ROW(tblOdsustva[[#Headers],[ID]])</f>
        <v>252</v>
      </c>
      <c r="K253" s="15"/>
    </row>
    <row r="254" spans="1:11" x14ac:dyDescent="0.3">
      <c r="A254">
        <f>ROW() - ROW(tblOdsustva[[#Headers],[ID]])</f>
        <v>253</v>
      </c>
      <c r="K254" s="15"/>
    </row>
    <row r="255" spans="1:11" x14ac:dyDescent="0.3">
      <c r="A255">
        <f>ROW() - ROW(tblOdsustva[[#Headers],[ID]])</f>
        <v>254</v>
      </c>
      <c r="K255" s="15"/>
    </row>
    <row r="256" spans="1:11" x14ac:dyDescent="0.3">
      <c r="A256">
        <f>ROW() - ROW(tblOdsustva[[#Headers],[ID]])</f>
        <v>255</v>
      </c>
      <c r="K256" s="15"/>
    </row>
    <row r="257" spans="1:11" x14ac:dyDescent="0.3">
      <c r="A257">
        <f>ROW() - ROW(tblOdsustva[[#Headers],[ID]])</f>
        <v>256</v>
      </c>
      <c r="K257" s="15"/>
    </row>
    <row r="258" spans="1:11" x14ac:dyDescent="0.3">
      <c r="A258">
        <f>ROW() - ROW(tblOdsustva[[#Headers],[ID]])</f>
        <v>257</v>
      </c>
      <c r="K258" s="15"/>
    </row>
    <row r="259" spans="1:11" x14ac:dyDescent="0.3">
      <c r="A259">
        <f>ROW() - ROW(tblOdsustva[[#Headers],[ID]])</f>
        <v>258</v>
      </c>
      <c r="K259" s="15"/>
    </row>
    <row r="260" spans="1:11" x14ac:dyDescent="0.3">
      <c r="A260">
        <f>ROW() - ROW(tblOdsustva[[#Headers],[ID]])</f>
        <v>259</v>
      </c>
      <c r="K260" s="15"/>
    </row>
    <row r="261" spans="1:11" x14ac:dyDescent="0.3">
      <c r="A261">
        <f>ROW() - ROW(tblOdsustva[[#Headers],[ID]])</f>
        <v>260</v>
      </c>
      <c r="K261" s="15"/>
    </row>
    <row r="262" spans="1:11" x14ac:dyDescent="0.3">
      <c r="A262">
        <f>ROW() - ROW(tblOdsustva[[#Headers],[ID]])</f>
        <v>261</v>
      </c>
      <c r="K262" s="15"/>
    </row>
    <row r="263" spans="1:11" x14ac:dyDescent="0.3">
      <c r="A263">
        <f>ROW() - ROW(tblOdsustva[[#Headers],[ID]])</f>
        <v>262</v>
      </c>
      <c r="K263" s="15"/>
    </row>
    <row r="264" spans="1:11" x14ac:dyDescent="0.3">
      <c r="A264">
        <f>ROW() - ROW(tblOdsustva[[#Headers],[ID]])</f>
        <v>263</v>
      </c>
      <c r="K264" s="15"/>
    </row>
    <row r="265" spans="1:11" x14ac:dyDescent="0.3">
      <c r="A265">
        <f>ROW() - ROW(tblOdsustva[[#Headers],[ID]])</f>
        <v>264</v>
      </c>
      <c r="K265" s="15"/>
    </row>
    <row r="266" spans="1:11" x14ac:dyDescent="0.3">
      <c r="A266">
        <f>ROW() - ROW(tblOdsustva[[#Headers],[ID]])</f>
        <v>265</v>
      </c>
      <c r="K266" s="15"/>
    </row>
    <row r="267" spans="1:11" x14ac:dyDescent="0.3">
      <c r="A267">
        <f>ROW() - ROW(tblOdsustva[[#Headers],[ID]])</f>
        <v>266</v>
      </c>
      <c r="K267" s="15"/>
    </row>
    <row r="268" spans="1:11" x14ac:dyDescent="0.3">
      <c r="A268">
        <f>ROW() - ROW(tblOdsustva[[#Headers],[ID]])</f>
        <v>267</v>
      </c>
      <c r="K268" s="15"/>
    </row>
    <row r="269" spans="1:11" x14ac:dyDescent="0.3">
      <c r="A269">
        <f>ROW() - ROW(tblOdsustva[[#Headers],[ID]])</f>
        <v>268</v>
      </c>
      <c r="K269" s="15"/>
    </row>
    <row r="270" spans="1:11" x14ac:dyDescent="0.3">
      <c r="A270">
        <f>ROW() - ROW(tblOdsustva[[#Headers],[ID]])</f>
        <v>269</v>
      </c>
      <c r="K270" s="15"/>
    </row>
    <row r="271" spans="1:11" x14ac:dyDescent="0.3">
      <c r="A271">
        <f>ROW() - ROW(tblOdsustva[[#Headers],[ID]])</f>
        <v>270</v>
      </c>
      <c r="K271" s="15"/>
    </row>
    <row r="272" spans="1:11" x14ac:dyDescent="0.3">
      <c r="A272">
        <f>ROW() - ROW(tblOdsustva[[#Headers],[ID]])</f>
        <v>271</v>
      </c>
      <c r="K272" s="15"/>
    </row>
    <row r="273" spans="1:11" x14ac:dyDescent="0.3">
      <c r="A273">
        <f>ROW() - ROW(tblOdsustva[[#Headers],[ID]])</f>
        <v>272</v>
      </c>
      <c r="K273" s="15"/>
    </row>
    <row r="274" spans="1:11" x14ac:dyDescent="0.3">
      <c r="A274">
        <f>ROW() - ROW(tblOdsustva[[#Headers],[ID]])</f>
        <v>273</v>
      </c>
      <c r="K274" s="15"/>
    </row>
    <row r="275" spans="1:11" x14ac:dyDescent="0.3">
      <c r="A275">
        <f>ROW() - ROW(tblOdsustva[[#Headers],[ID]])</f>
        <v>274</v>
      </c>
      <c r="K275" s="15"/>
    </row>
    <row r="276" spans="1:11" x14ac:dyDescent="0.3">
      <c r="A276">
        <f>ROW() - ROW(tblOdsustva[[#Headers],[ID]])</f>
        <v>275</v>
      </c>
      <c r="K276" s="15"/>
    </row>
    <row r="277" spans="1:11" x14ac:dyDescent="0.3">
      <c r="A277">
        <f>ROW() - ROW(tblOdsustva[[#Headers],[ID]])</f>
        <v>276</v>
      </c>
      <c r="K277" s="15"/>
    </row>
    <row r="278" spans="1:11" x14ac:dyDescent="0.3">
      <c r="A278">
        <f>ROW() - ROW(tblOdsustva[[#Headers],[ID]])</f>
        <v>277</v>
      </c>
      <c r="K278" s="15"/>
    </row>
    <row r="279" spans="1:11" x14ac:dyDescent="0.3">
      <c r="A279">
        <f>ROW() - ROW(tblOdsustva[[#Headers],[ID]])</f>
        <v>278</v>
      </c>
      <c r="K279" s="15"/>
    </row>
    <row r="280" spans="1:11" x14ac:dyDescent="0.3">
      <c r="A280">
        <f>ROW() - ROW(tblOdsustva[[#Headers],[ID]])</f>
        <v>279</v>
      </c>
      <c r="K280" s="15"/>
    </row>
    <row r="281" spans="1:11" x14ac:dyDescent="0.3">
      <c r="A281">
        <f>ROW() - ROW(tblOdsustva[[#Headers],[ID]])</f>
        <v>280</v>
      </c>
      <c r="K281" s="15"/>
    </row>
    <row r="282" spans="1:11" x14ac:dyDescent="0.3">
      <c r="A282">
        <f>ROW() - ROW(tblOdsustva[[#Headers],[ID]])</f>
        <v>281</v>
      </c>
      <c r="K282" s="15"/>
    </row>
    <row r="283" spans="1:11" x14ac:dyDescent="0.3">
      <c r="A283">
        <f>ROW() - ROW(tblOdsustva[[#Headers],[ID]])</f>
        <v>282</v>
      </c>
      <c r="K283" s="15"/>
    </row>
    <row r="284" spans="1:11" x14ac:dyDescent="0.3">
      <c r="A284">
        <f>ROW() - ROW(tblOdsustva[[#Headers],[ID]])</f>
        <v>283</v>
      </c>
      <c r="K284" s="15"/>
    </row>
    <row r="285" spans="1:11" x14ac:dyDescent="0.3">
      <c r="A285">
        <f>ROW() - ROW(tblOdsustva[[#Headers],[ID]])</f>
        <v>284</v>
      </c>
      <c r="K285" s="15"/>
    </row>
    <row r="286" spans="1:11" x14ac:dyDescent="0.3">
      <c r="A286">
        <f>ROW() - ROW(tblOdsustva[[#Headers],[ID]])</f>
        <v>285</v>
      </c>
      <c r="K286" s="15"/>
    </row>
    <row r="287" spans="1:11" x14ac:dyDescent="0.3">
      <c r="A287">
        <f>ROW() - ROW(tblOdsustva[[#Headers],[ID]])</f>
        <v>286</v>
      </c>
      <c r="K287" s="15"/>
    </row>
    <row r="288" spans="1:11" x14ac:dyDescent="0.3">
      <c r="A288">
        <f>ROW() - ROW(tblOdsustva[[#Headers],[ID]])</f>
        <v>287</v>
      </c>
      <c r="K288" s="15"/>
    </row>
    <row r="289" spans="1:11" x14ac:dyDescent="0.3">
      <c r="A289">
        <f>ROW() - ROW(tblOdsustva[[#Headers],[ID]])</f>
        <v>288</v>
      </c>
      <c r="K289" s="15"/>
    </row>
    <row r="290" spans="1:11" x14ac:dyDescent="0.3">
      <c r="A290">
        <f>ROW() - ROW(tblOdsustva[[#Headers],[ID]])</f>
        <v>289</v>
      </c>
      <c r="K290" s="15"/>
    </row>
    <row r="291" spans="1:11" x14ac:dyDescent="0.3">
      <c r="A291">
        <f>ROW() - ROW(tblOdsustva[[#Headers],[ID]])</f>
        <v>290</v>
      </c>
      <c r="K291" s="15"/>
    </row>
    <row r="292" spans="1:11" x14ac:dyDescent="0.3">
      <c r="A292">
        <f>ROW() - ROW(tblOdsustva[[#Headers],[ID]])</f>
        <v>291</v>
      </c>
      <c r="K292" s="15"/>
    </row>
    <row r="293" spans="1:11" x14ac:dyDescent="0.3">
      <c r="A293">
        <f>ROW() - ROW(tblOdsustva[[#Headers],[ID]])</f>
        <v>292</v>
      </c>
      <c r="K293" s="15"/>
    </row>
    <row r="294" spans="1:11" x14ac:dyDescent="0.3">
      <c r="A294">
        <f>ROW() - ROW(tblOdsustva[[#Headers],[ID]])</f>
        <v>293</v>
      </c>
      <c r="K294" s="15"/>
    </row>
    <row r="295" spans="1:11" x14ac:dyDescent="0.3">
      <c r="A295">
        <f>ROW() - ROW(tblOdsustva[[#Headers],[ID]])</f>
        <v>294</v>
      </c>
      <c r="K295" s="15"/>
    </row>
    <row r="296" spans="1:11" x14ac:dyDescent="0.3">
      <c r="A296">
        <f>ROW() - ROW(tblOdsustva[[#Headers],[ID]])</f>
        <v>295</v>
      </c>
      <c r="K296" s="15"/>
    </row>
    <row r="297" spans="1:11" x14ac:dyDescent="0.3">
      <c r="A297">
        <f>ROW() - ROW(tblOdsustva[[#Headers],[ID]])</f>
        <v>296</v>
      </c>
      <c r="K297" s="15"/>
    </row>
    <row r="298" spans="1:11" x14ac:dyDescent="0.3">
      <c r="A298">
        <f>ROW() - ROW(tblOdsustva[[#Headers],[ID]])</f>
        <v>297</v>
      </c>
      <c r="K298" s="15"/>
    </row>
    <row r="299" spans="1:11" x14ac:dyDescent="0.3">
      <c r="A299">
        <f>ROW() - ROW(tblOdsustva[[#Headers],[ID]])</f>
        <v>298</v>
      </c>
      <c r="K299" s="15"/>
    </row>
    <row r="300" spans="1:11" x14ac:dyDescent="0.3">
      <c r="A300">
        <f>ROW() - ROW(tblOdsustva[[#Headers],[ID]])</f>
        <v>299</v>
      </c>
      <c r="K300" s="15"/>
    </row>
    <row r="301" spans="1:11" x14ac:dyDescent="0.3">
      <c r="A301">
        <f>ROW() - ROW(tblOdsustva[[#Headers],[ID]])</f>
        <v>300</v>
      </c>
      <c r="K301" s="15"/>
    </row>
    <row r="302" spans="1:11" x14ac:dyDescent="0.3">
      <c r="A302">
        <f>ROW() - ROW(tblOdsustva[[#Headers],[ID]])</f>
        <v>301</v>
      </c>
      <c r="K302" s="15"/>
    </row>
    <row r="303" spans="1:11" x14ac:dyDescent="0.3">
      <c r="A303">
        <f>ROW() - ROW(tblOdsustva[[#Headers],[ID]])</f>
        <v>302</v>
      </c>
      <c r="K303" s="15"/>
    </row>
    <row r="304" spans="1:11" x14ac:dyDescent="0.3">
      <c r="A304">
        <f>ROW() - ROW(tblOdsustva[[#Headers],[ID]])</f>
        <v>303</v>
      </c>
      <c r="K304" s="15"/>
    </row>
    <row r="305" spans="1:11" x14ac:dyDescent="0.3">
      <c r="A305">
        <f>ROW() - ROW(tblOdsustva[[#Headers],[ID]])</f>
        <v>304</v>
      </c>
      <c r="K305" s="15"/>
    </row>
    <row r="306" spans="1:11" x14ac:dyDescent="0.3">
      <c r="A306">
        <f>ROW() - ROW(tblOdsustva[[#Headers],[ID]])</f>
        <v>305</v>
      </c>
      <c r="K306" s="15"/>
    </row>
    <row r="307" spans="1:11" x14ac:dyDescent="0.3">
      <c r="A307">
        <f>ROW() - ROW(tblOdsustva[[#Headers],[ID]])</f>
        <v>306</v>
      </c>
      <c r="K307" s="15"/>
    </row>
    <row r="308" spans="1:11" x14ac:dyDescent="0.3">
      <c r="A308">
        <f>ROW() - ROW(tblOdsustva[[#Headers],[ID]])</f>
        <v>307</v>
      </c>
      <c r="K308" s="15"/>
    </row>
    <row r="309" spans="1:11" x14ac:dyDescent="0.3">
      <c r="A309">
        <f>ROW() - ROW(tblOdsustva[[#Headers],[ID]])</f>
        <v>308</v>
      </c>
      <c r="K309" s="15"/>
    </row>
    <row r="310" spans="1:11" x14ac:dyDescent="0.3">
      <c r="A310">
        <f>ROW() - ROW(tblOdsustva[[#Headers],[ID]])</f>
        <v>309</v>
      </c>
      <c r="K310" s="15"/>
    </row>
    <row r="311" spans="1:11" x14ac:dyDescent="0.3">
      <c r="A311">
        <f>ROW() - ROW(tblOdsustva[[#Headers],[ID]])</f>
        <v>310</v>
      </c>
      <c r="K311" s="15"/>
    </row>
    <row r="312" spans="1:11" x14ac:dyDescent="0.3">
      <c r="A312">
        <f>ROW() - ROW(tblOdsustva[[#Headers],[ID]])</f>
        <v>311</v>
      </c>
      <c r="K312" s="15"/>
    </row>
    <row r="313" spans="1:11" x14ac:dyDescent="0.3">
      <c r="A313">
        <f>ROW() - ROW(tblOdsustva[[#Headers],[ID]])</f>
        <v>312</v>
      </c>
      <c r="K313" s="15"/>
    </row>
    <row r="314" spans="1:11" x14ac:dyDescent="0.3">
      <c r="A314">
        <f>ROW() - ROW(tblOdsustva[[#Headers],[ID]])</f>
        <v>313</v>
      </c>
      <c r="K314" s="15"/>
    </row>
    <row r="315" spans="1:11" x14ac:dyDescent="0.3">
      <c r="A315">
        <f>ROW() - ROW(tblOdsustva[[#Headers],[ID]])</f>
        <v>314</v>
      </c>
      <c r="K315" s="15"/>
    </row>
    <row r="316" spans="1:11" x14ac:dyDescent="0.3">
      <c r="A316">
        <f>ROW() - ROW(tblOdsustva[[#Headers],[ID]])</f>
        <v>315</v>
      </c>
      <c r="K316" s="15"/>
    </row>
    <row r="317" spans="1:11" x14ac:dyDescent="0.3">
      <c r="A317">
        <f>ROW() - ROW(tblOdsustva[[#Headers],[ID]])</f>
        <v>316</v>
      </c>
      <c r="K317" s="15"/>
    </row>
    <row r="318" spans="1:11" x14ac:dyDescent="0.3">
      <c r="A318">
        <f>ROW() - ROW(tblOdsustva[[#Headers],[ID]])</f>
        <v>317</v>
      </c>
      <c r="K318" s="15"/>
    </row>
    <row r="319" spans="1:11" x14ac:dyDescent="0.3">
      <c r="A319">
        <f>ROW() - ROW(tblOdsustva[[#Headers],[ID]])</f>
        <v>318</v>
      </c>
      <c r="K319" s="15"/>
    </row>
    <row r="320" spans="1:11" x14ac:dyDescent="0.3">
      <c r="A320">
        <f>ROW() - ROW(tblOdsustva[[#Headers],[ID]])</f>
        <v>319</v>
      </c>
      <c r="K320" s="15"/>
    </row>
    <row r="321" spans="1:11" x14ac:dyDescent="0.3">
      <c r="A321">
        <f>ROW() - ROW(tblOdsustva[[#Headers],[ID]])</f>
        <v>320</v>
      </c>
      <c r="K321" s="15"/>
    </row>
    <row r="322" spans="1:11" x14ac:dyDescent="0.3">
      <c r="A322">
        <f>ROW() - ROW(tblOdsustva[[#Headers],[ID]])</f>
        <v>321</v>
      </c>
      <c r="K322" s="15"/>
    </row>
    <row r="323" spans="1:11" x14ac:dyDescent="0.3">
      <c r="A323">
        <f>ROW() - ROW(tblOdsustva[[#Headers],[ID]])</f>
        <v>322</v>
      </c>
      <c r="K323" s="15"/>
    </row>
    <row r="324" spans="1:11" x14ac:dyDescent="0.3">
      <c r="A324">
        <f>ROW() - ROW(tblOdsustva[[#Headers],[ID]])</f>
        <v>323</v>
      </c>
      <c r="K324" s="15"/>
    </row>
    <row r="325" spans="1:11" x14ac:dyDescent="0.3">
      <c r="A325">
        <f>ROW() - ROW(tblOdsustva[[#Headers],[ID]])</f>
        <v>324</v>
      </c>
      <c r="K325" s="15"/>
    </row>
    <row r="326" spans="1:11" x14ac:dyDescent="0.3">
      <c r="A326">
        <f>ROW() - ROW(tblOdsustva[[#Headers],[ID]])</f>
        <v>325</v>
      </c>
      <c r="K326" s="15"/>
    </row>
    <row r="327" spans="1:11" x14ac:dyDescent="0.3">
      <c r="A327">
        <f>ROW() - ROW(tblOdsustva[[#Headers],[ID]])</f>
        <v>326</v>
      </c>
      <c r="K327" s="15"/>
    </row>
    <row r="328" spans="1:11" x14ac:dyDescent="0.3">
      <c r="A328">
        <f>ROW() - ROW(tblOdsustva[[#Headers],[ID]])</f>
        <v>327</v>
      </c>
      <c r="K328" s="15"/>
    </row>
    <row r="329" spans="1:11" x14ac:dyDescent="0.3">
      <c r="A329">
        <f>ROW() - ROW(tblOdsustva[[#Headers],[ID]])</f>
        <v>328</v>
      </c>
      <c r="K329" s="15"/>
    </row>
    <row r="330" spans="1:11" x14ac:dyDescent="0.3">
      <c r="A330">
        <f>ROW() - ROW(tblOdsustva[[#Headers],[ID]])</f>
        <v>329</v>
      </c>
      <c r="K330" s="15"/>
    </row>
    <row r="331" spans="1:11" x14ac:dyDescent="0.3">
      <c r="A331">
        <f>ROW() - ROW(tblOdsustva[[#Headers],[ID]])</f>
        <v>330</v>
      </c>
      <c r="K331" s="15"/>
    </row>
    <row r="332" spans="1:11" x14ac:dyDescent="0.3">
      <c r="A332">
        <f>ROW() - ROW(tblOdsustva[[#Headers],[ID]])</f>
        <v>331</v>
      </c>
      <c r="K332" s="15"/>
    </row>
    <row r="333" spans="1:11" x14ac:dyDescent="0.3">
      <c r="A333">
        <f>ROW() - ROW(tblOdsustva[[#Headers],[ID]])</f>
        <v>332</v>
      </c>
      <c r="K333" s="15"/>
    </row>
    <row r="334" spans="1:11" x14ac:dyDescent="0.3">
      <c r="A334">
        <f>ROW() - ROW(tblOdsustva[[#Headers],[ID]])</f>
        <v>333</v>
      </c>
      <c r="K334" s="15"/>
    </row>
    <row r="335" spans="1:11" x14ac:dyDescent="0.3">
      <c r="A335">
        <f>ROW() - ROW(tblOdsustva[[#Headers],[ID]])</f>
        <v>334</v>
      </c>
      <c r="K335" s="15"/>
    </row>
    <row r="336" spans="1:11" x14ac:dyDescent="0.3">
      <c r="A336">
        <f>ROW() - ROW(tblOdsustva[[#Headers],[ID]])</f>
        <v>335</v>
      </c>
      <c r="K336" s="15"/>
    </row>
    <row r="337" spans="1:11" x14ac:dyDescent="0.3">
      <c r="A337">
        <f>ROW() - ROW(tblOdsustva[[#Headers],[ID]])</f>
        <v>336</v>
      </c>
      <c r="K337" s="15"/>
    </row>
    <row r="338" spans="1:11" x14ac:dyDescent="0.3">
      <c r="A338">
        <f>ROW() - ROW(tblOdsustva[[#Headers],[ID]])</f>
        <v>337</v>
      </c>
      <c r="K338" s="15"/>
    </row>
    <row r="339" spans="1:11" x14ac:dyDescent="0.3">
      <c r="A339">
        <f>ROW() - ROW(tblOdsustva[[#Headers],[ID]])</f>
        <v>338</v>
      </c>
      <c r="K339" s="15"/>
    </row>
    <row r="340" spans="1:11" x14ac:dyDescent="0.3">
      <c r="A340">
        <f>ROW() - ROW(tblOdsustva[[#Headers],[ID]])</f>
        <v>339</v>
      </c>
      <c r="K340" s="15"/>
    </row>
    <row r="341" spans="1:11" x14ac:dyDescent="0.3">
      <c r="A341">
        <f>ROW() - ROW(tblOdsustva[[#Headers],[ID]])</f>
        <v>340</v>
      </c>
      <c r="K341" s="15"/>
    </row>
    <row r="342" spans="1:11" x14ac:dyDescent="0.3">
      <c r="A342">
        <f>ROW() - ROW(tblOdsustva[[#Headers],[ID]])</f>
        <v>341</v>
      </c>
      <c r="K342" s="15"/>
    </row>
    <row r="343" spans="1:11" x14ac:dyDescent="0.3">
      <c r="A343">
        <f>ROW() - ROW(tblOdsustva[[#Headers],[ID]])</f>
        <v>342</v>
      </c>
      <c r="K343" s="15"/>
    </row>
    <row r="344" spans="1:11" x14ac:dyDescent="0.3">
      <c r="A344">
        <f>ROW() - ROW(tblOdsustva[[#Headers],[ID]])</f>
        <v>343</v>
      </c>
      <c r="K344" s="15"/>
    </row>
    <row r="345" spans="1:11" x14ac:dyDescent="0.3">
      <c r="A345">
        <f>ROW() - ROW(tblOdsustva[[#Headers],[ID]])</f>
        <v>344</v>
      </c>
      <c r="K345" s="15"/>
    </row>
    <row r="346" spans="1:11" x14ac:dyDescent="0.3">
      <c r="A346">
        <f>ROW() - ROW(tblOdsustva[[#Headers],[ID]])</f>
        <v>345</v>
      </c>
      <c r="K346" s="15"/>
    </row>
    <row r="347" spans="1:11" x14ac:dyDescent="0.3">
      <c r="A347">
        <f>ROW() - ROW(tblOdsustva[[#Headers],[ID]])</f>
        <v>346</v>
      </c>
      <c r="K347" s="15"/>
    </row>
    <row r="348" spans="1:11" x14ac:dyDescent="0.3">
      <c r="A348">
        <f>ROW() - ROW(tblOdsustva[[#Headers],[ID]])</f>
        <v>347</v>
      </c>
      <c r="K348" s="15"/>
    </row>
    <row r="349" spans="1:11" x14ac:dyDescent="0.3">
      <c r="A349">
        <f>ROW() - ROW(tblOdsustva[[#Headers],[ID]])</f>
        <v>348</v>
      </c>
      <c r="K349" s="15"/>
    </row>
    <row r="350" spans="1:11" x14ac:dyDescent="0.3">
      <c r="A350">
        <f>ROW() - ROW(tblOdsustva[[#Headers],[ID]])</f>
        <v>349</v>
      </c>
      <c r="K350" s="15"/>
    </row>
    <row r="351" spans="1:11" x14ac:dyDescent="0.3">
      <c r="A351">
        <f>ROW() - ROW(tblOdsustva[[#Headers],[ID]])</f>
        <v>350</v>
      </c>
      <c r="K351" s="15"/>
    </row>
    <row r="352" spans="1:11" x14ac:dyDescent="0.3">
      <c r="A352">
        <f>ROW() - ROW(tblOdsustva[[#Headers],[ID]])</f>
        <v>351</v>
      </c>
      <c r="K352" s="15"/>
    </row>
    <row r="353" spans="1:11" x14ac:dyDescent="0.3">
      <c r="A353">
        <f>ROW() - ROW(tblOdsustva[[#Headers],[ID]])</f>
        <v>352</v>
      </c>
      <c r="K353" s="15"/>
    </row>
    <row r="354" spans="1:11" x14ac:dyDescent="0.3">
      <c r="A354">
        <f>ROW() - ROW(tblOdsustva[[#Headers],[ID]])</f>
        <v>353</v>
      </c>
      <c r="K354" s="15"/>
    </row>
    <row r="355" spans="1:11" x14ac:dyDescent="0.3">
      <c r="A355">
        <f>ROW() - ROW(tblOdsustva[[#Headers],[ID]])</f>
        <v>354</v>
      </c>
      <c r="K355" s="15"/>
    </row>
    <row r="356" spans="1:11" x14ac:dyDescent="0.3">
      <c r="A356">
        <f>ROW() - ROW(tblOdsustva[[#Headers],[ID]])</f>
        <v>355</v>
      </c>
      <c r="K356" s="15"/>
    </row>
    <row r="357" spans="1:11" x14ac:dyDescent="0.3">
      <c r="A357">
        <f>ROW() - ROW(tblOdsustva[[#Headers],[ID]])</f>
        <v>356</v>
      </c>
      <c r="K357" s="15"/>
    </row>
    <row r="358" spans="1:11" x14ac:dyDescent="0.3">
      <c r="A358">
        <f>ROW() - ROW(tblOdsustva[[#Headers],[ID]])</f>
        <v>357</v>
      </c>
      <c r="K358" s="15"/>
    </row>
    <row r="359" spans="1:11" x14ac:dyDescent="0.3">
      <c r="A359">
        <f>ROW() - ROW(tblOdsustva[[#Headers],[ID]])</f>
        <v>358</v>
      </c>
      <c r="K359" s="15"/>
    </row>
    <row r="360" spans="1:11" x14ac:dyDescent="0.3">
      <c r="A360">
        <f>ROW() - ROW(tblOdsustva[[#Headers],[ID]])</f>
        <v>359</v>
      </c>
      <c r="K360" s="15"/>
    </row>
    <row r="361" spans="1:11" x14ac:dyDescent="0.3">
      <c r="A361">
        <f>ROW() - ROW(tblOdsustva[[#Headers],[ID]])</f>
        <v>360</v>
      </c>
      <c r="K361" s="15"/>
    </row>
    <row r="362" spans="1:11" x14ac:dyDescent="0.3">
      <c r="A362">
        <f>ROW() - ROW(tblOdsustva[[#Headers],[ID]])</f>
        <v>361</v>
      </c>
      <c r="K362" s="15"/>
    </row>
    <row r="363" spans="1:11" x14ac:dyDescent="0.3">
      <c r="A363">
        <f>ROW() - ROW(tblOdsustva[[#Headers],[ID]])</f>
        <v>362</v>
      </c>
      <c r="K363" s="15"/>
    </row>
    <row r="364" spans="1:11" x14ac:dyDescent="0.3">
      <c r="A364">
        <f>ROW() - ROW(tblOdsustva[[#Headers],[ID]])</f>
        <v>363</v>
      </c>
      <c r="K364" s="15"/>
    </row>
    <row r="365" spans="1:11" x14ac:dyDescent="0.3">
      <c r="A365">
        <f>ROW() - ROW(tblOdsustva[[#Headers],[ID]])</f>
        <v>364</v>
      </c>
      <c r="K365" s="15"/>
    </row>
    <row r="366" spans="1:11" x14ac:dyDescent="0.3">
      <c r="A366">
        <f>ROW() - ROW(tblOdsustva[[#Headers],[ID]])</f>
        <v>365</v>
      </c>
      <c r="K366" s="15"/>
    </row>
    <row r="367" spans="1:11" x14ac:dyDescent="0.3">
      <c r="A367">
        <f>ROW() - ROW(tblOdsustva[[#Headers],[ID]])</f>
        <v>366</v>
      </c>
      <c r="K367" s="15"/>
    </row>
    <row r="368" spans="1:11" x14ac:dyDescent="0.3">
      <c r="A368">
        <f>ROW() - ROW(tblOdsustva[[#Headers],[ID]])</f>
        <v>367</v>
      </c>
      <c r="K368" s="15"/>
    </row>
    <row r="369" spans="1:11" x14ac:dyDescent="0.3">
      <c r="A369">
        <f>ROW() - ROW(tblOdsustva[[#Headers],[ID]])</f>
        <v>368</v>
      </c>
      <c r="K369" s="15"/>
    </row>
    <row r="370" spans="1:11" x14ac:dyDescent="0.3">
      <c r="A370">
        <f>ROW() - ROW(tblOdsustva[[#Headers],[ID]])</f>
        <v>369</v>
      </c>
      <c r="K370" s="15"/>
    </row>
    <row r="371" spans="1:11" x14ac:dyDescent="0.3">
      <c r="A371">
        <f>ROW() - ROW(tblOdsustva[[#Headers],[ID]])</f>
        <v>370</v>
      </c>
      <c r="K371" s="15"/>
    </row>
    <row r="372" spans="1:11" x14ac:dyDescent="0.3">
      <c r="A372">
        <f>ROW() - ROW(tblOdsustva[[#Headers],[ID]])</f>
        <v>371</v>
      </c>
      <c r="K372" s="15"/>
    </row>
    <row r="373" spans="1:11" x14ac:dyDescent="0.3">
      <c r="A373">
        <f>ROW() - ROW(tblOdsustva[[#Headers],[ID]])</f>
        <v>372</v>
      </c>
      <c r="K373" s="15"/>
    </row>
    <row r="374" spans="1:11" x14ac:dyDescent="0.3">
      <c r="A374">
        <f>ROW() - ROW(tblOdsustva[[#Headers],[ID]])</f>
        <v>373</v>
      </c>
      <c r="K374" s="15"/>
    </row>
    <row r="375" spans="1:11" x14ac:dyDescent="0.3">
      <c r="A375">
        <f>ROW() - ROW(tblOdsustva[[#Headers],[ID]])</f>
        <v>374</v>
      </c>
      <c r="K375" s="15"/>
    </row>
    <row r="376" spans="1:11" x14ac:dyDescent="0.3">
      <c r="A376">
        <f>ROW() - ROW(tblOdsustva[[#Headers],[ID]])</f>
        <v>375</v>
      </c>
      <c r="K376" s="15"/>
    </row>
    <row r="377" spans="1:11" x14ac:dyDescent="0.3">
      <c r="A377">
        <f>ROW() - ROW(tblOdsustva[[#Headers],[ID]])</f>
        <v>376</v>
      </c>
      <c r="K377" s="15"/>
    </row>
    <row r="378" spans="1:11" x14ac:dyDescent="0.3">
      <c r="A378">
        <f>ROW() - ROW(tblOdsustva[[#Headers],[ID]])</f>
        <v>377</v>
      </c>
      <c r="K378" s="15"/>
    </row>
    <row r="379" spans="1:11" x14ac:dyDescent="0.3">
      <c r="A379">
        <f>ROW() - ROW(tblOdsustva[[#Headers],[ID]])</f>
        <v>378</v>
      </c>
      <c r="K379" s="15"/>
    </row>
    <row r="380" spans="1:11" x14ac:dyDescent="0.3">
      <c r="A380">
        <f>ROW() - ROW(tblOdsustva[[#Headers],[ID]])</f>
        <v>379</v>
      </c>
      <c r="K380" s="15"/>
    </row>
    <row r="381" spans="1:11" x14ac:dyDescent="0.3">
      <c r="A381">
        <f>ROW() - ROW(tblOdsustva[[#Headers],[ID]])</f>
        <v>380</v>
      </c>
      <c r="K381" s="15"/>
    </row>
    <row r="382" spans="1:11" x14ac:dyDescent="0.3">
      <c r="A382">
        <f>ROW() - ROW(tblOdsustva[[#Headers],[ID]])</f>
        <v>381</v>
      </c>
      <c r="K382" s="15"/>
    </row>
    <row r="383" spans="1:11" x14ac:dyDescent="0.3">
      <c r="A383">
        <f>ROW() - ROW(tblOdsustva[[#Headers],[ID]])</f>
        <v>382</v>
      </c>
      <c r="K383" s="15"/>
    </row>
    <row r="384" spans="1:11" x14ac:dyDescent="0.3">
      <c r="A384">
        <f>ROW() - ROW(tblOdsustva[[#Headers],[ID]])</f>
        <v>383</v>
      </c>
      <c r="K384" s="15"/>
    </row>
    <row r="385" spans="1:11" x14ac:dyDescent="0.3">
      <c r="A385">
        <f>ROW() - ROW(tblOdsustva[[#Headers],[ID]])</f>
        <v>384</v>
      </c>
      <c r="K385" s="15"/>
    </row>
    <row r="386" spans="1:11" x14ac:dyDescent="0.3">
      <c r="A386">
        <f>ROW() - ROW(tblOdsustva[[#Headers],[ID]])</f>
        <v>385</v>
      </c>
      <c r="K386" s="15"/>
    </row>
    <row r="387" spans="1:11" x14ac:dyDescent="0.3">
      <c r="A387">
        <f>ROW() - ROW(tblOdsustva[[#Headers],[ID]])</f>
        <v>386</v>
      </c>
      <c r="K387" s="15"/>
    </row>
    <row r="388" spans="1:11" x14ac:dyDescent="0.3">
      <c r="A388">
        <f>ROW() - ROW(tblOdsustva[[#Headers],[ID]])</f>
        <v>387</v>
      </c>
      <c r="K388" s="15"/>
    </row>
    <row r="389" spans="1:11" x14ac:dyDescent="0.3">
      <c r="A389">
        <f>ROW() - ROW(tblOdsustva[[#Headers],[ID]])</f>
        <v>388</v>
      </c>
      <c r="K389" s="15"/>
    </row>
    <row r="390" spans="1:11" x14ac:dyDescent="0.3">
      <c r="A390">
        <f>ROW() - ROW(tblOdsustva[[#Headers],[ID]])</f>
        <v>389</v>
      </c>
      <c r="K390" s="15"/>
    </row>
    <row r="391" spans="1:11" x14ac:dyDescent="0.3">
      <c r="A391">
        <f>ROW() - ROW(tblOdsustva[[#Headers],[ID]])</f>
        <v>390</v>
      </c>
      <c r="K391" s="15"/>
    </row>
    <row r="392" spans="1:11" x14ac:dyDescent="0.3">
      <c r="A392">
        <f>ROW() - ROW(tblOdsustva[[#Headers],[ID]])</f>
        <v>391</v>
      </c>
      <c r="K392" s="15"/>
    </row>
    <row r="393" spans="1:11" x14ac:dyDescent="0.3">
      <c r="A393">
        <f>ROW() - ROW(tblOdsustva[[#Headers],[ID]])</f>
        <v>392</v>
      </c>
      <c r="K393" s="15"/>
    </row>
    <row r="394" spans="1:11" x14ac:dyDescent="0.3">
      <c r="A394">
        <f>ROW() - ROW(tblOdsustva[[#Headers],[ID]])</f>
        <v>393</v>
      </c>
      <c r="K394" s="15"/>
    </row>
    <row r="395" spans="1:11" x14ac:dyDescent="0.3">
      <c r="A395">
        <f>ROW() - ROW(tblOdsustva[[#Headers],[ID]])</f>
        <v>394</v>
      </c>
      <c r="K395" s="15"/>
    </row>
    <row r="396" spans="1:11" x14ac:dyDescent="0.3">
      <c r="A396">
        <f>ROW() - ROW(tblOdsustva[[#Headers],[ID]])</f>
        <v>395</v>
      </c>
      <c r="K396" s="15"/>
    </row>
    <row r="397" spans="1:11" x14ac:dyDescent="0.3">
      <c r="A397">
        <f>ROW() - ROW(tblOdsustva[[#Headers],[ID]])</f>
        <v>396</v>
      </c>
      <c r="K397" s="15"/>
    </row>
    <row r="398" spans="1:11" x14ac:dyDescent="0.3">
      <c r="A398">
        <f>ROW() - ROW(tblOdsustva[[#Headers],[ID]])</f>
        <v>397</v>
      </c>
      <c r="K398" s="15"/>
    </row>
    <row r="399" spans="1:11" x14ac:dyDescent="0.3">
      <c r="A399">
        <f>ROW() - ROW(tblOdsustva[[#Headers],[ID]])</f>
        <v>398</v>
      </c>
      <c r="K399" s="15"/>
    </row>
    <row r="400" spans="1:11" x14ac:dyDescent="0.3">
      <c r="A400">
        <f>ROW() - ROW(tblOdsustva[[#Headers],[ID]])</f>
        <v>399</v>
      </c>
      <c r="K400" s="15"/>
    </row>
    <row r="401" spans="1:11" x14ac:dyDescent="0.3">
      <c r="A401">
        <f>ROW() - ROW(tblOdsustva[[#Headers],[ID]])</f>
        <v>400</v>
      </c>
      <c r="K401" s="15"/>
    </row>
    <row r="402" spans="1:11" x14ac:dyDescent="0.3">
      <c r="A402">
        <f>ROW() - ROW(tblOdsustva[[#Headers],[ID]])</f>
        <v>401</v>
      </c>
      <c r="K402" s="15"/>
    </row>
    <row r="403" spans="1:11" x14ac:dyDescent="0.3">
      <c r="A403">
        <f>ROW() - ROW(tblOdsustva[[#Headers],[ID]])</f>
        <v>402</v>
      </c>
      <c r="K403" s="15"/>
    </row>
    <row r="404" spans="1:11" x14ac:dyDescent="0.3">
      <c r="A404">
        <f>ROW() - ROW(tblOdsustva[[#Headers],[ID]])</f>
        <v>403</v>
      </c>
      <c r="K404" s="15"/>
    </row>
    <row r="405" spans="1:11" x14ac:dyDescent="0.3">
      <c r="A405">
        <f>ROW() - ROW(tblOdsustva[[#Headers],[ID]])</f>
        <v>404</v>
      </c>
      <c r="K405" s="15"/>
    </row>
    <row r="406" spans="1:11" x14ac:dyDescent="0.3">
      <c r="A406">
        <f>ROW() - ROW(tblOdsustva[[#Headers],[ID]])</f>
        <v>405</v>
      </c>
      <c r="K406" s="15"/>
    </row>
    <row r="407" spans="1:11" x14ac:dyDescent="0.3">
      <c r="A407">
        <f>ROW() - ROW(tblOdsustva[[#Headers],[ID]])</f>
        <v>406</v>
      </c>
      <c r="K407" s="15"/>
    </row>
    <row r="408" spans="1:11" x14ac:dyDescent="0.3">
      <c r="A408">
        <f>ROW() - ROW(tblOdsustva[[#Headers],[ID]])</f>
        <v>407</v>
      </c>
      <c r="K408" s="15"/>
    </row>
    <row r="409" spans="1:11" x14ac:dyDescent="0.3">
      <c r="A409">
        <f>ROW() - ROW(tblOdsustva[[#Headers],[ID]])</f>
        <v>408</v>
      </c>
      <c r="K409" s="15"/>
    </row>
    <row r="410" spans="1:11" x14ac:dyDescent="0.3">
      <c r="A410">
        <f>ROW() - ROW(tblOdsustva[[#Headers],[ID]])</f>
        <v>409</v>
      </c>
      <c r="K410" s="15"/>
    </row>
    <row r="411" spans="1:11" x14ac:dyDescent="0.3">
      <c r="A411">
        <f>ROW() - ROW(tblOdsustva[[#Headers],[ID]])</f>
        <v>410</v>
      </c>
      <c r="K411" s="15"/>
    </row>
    <row r="412" spans="1:11" x14ac:dyDescent="0.3">
      <c r="A412">
        <f>ROW() - ROW(tblOdsustva[[#Headers],[ID]])</f>
        <v>411</v>
      </c>
      <c r="K412" s="15"/>
    </row>
    <row r="413" spans="1:11" x14ac:dyDescent="0.3">
      <c r="A413">
        <f>ROW() - ROW(tblOdsustva[[#Headers],[ID]])</f>
        <v>412</v>
      </c>
      <c r="K413" s="15"/>
    </row>
    <row r="414" spans="1:11" x14ac:dyDescent="0.3">
      <c r="A414">
        <f>ROW() - ROW(tblOdsustva[[#Headers],[ID]])</f>
        <v>413</v>
      </c>
      <c r="K414" s="15"/>
    </row>
    <row r="415" spans="1:11" x14ac:dyDescent="0.3">
      <c r="A415">
        <f>ROW() - ROW(tblOdsustva[[#Headers],[ID]])</f>
        <v>414</v>
      </c>
      <c r="K415" s="15"/>
    </row>
    <row r="416" spans="1:11" x14ac:dyDescent="0.3">
      <c r="A416">
        <f>ROW() - ROW(tblOdsustva[[#Headers],[ID]])</f>
        <v>415</v>
      </c>
      <c r="K416" s="15"/>
    </row>
    <row r="417" spans="1:11" x14ac:dyDescent="0.3">
      <c r="A417">
        <f>ROW() - ROW(tblOdsustva[[#Headers],[ID]])</f>
        <v>416</v>
      </c>
      <c r="K417" s="15"/>
    </row>
    <row r="418" spans="1:11" x14ac:dyDescent="0.3">
      <c r="A418">
        <f>ROW() - ROW(tblOdsustva[[#Headers],[ID]])</f>
        <v>417</v>
      </c>
      <c r="K418" s="15"/>
    </row>
    <row r="419" spans="1:11" x14ac:dyDescent="0.3">
      <c r="A419">
        <f>ROW() - ROW(tblOdsustva[[#Headers],[ID]])</f>
        <v>418</v>
      </c>
      <c r="K419" s="15"/>
    </row>
    <row r="420" spans="1:11" x14ac:dyDescent="0.3">
      <c r="A420">
        <f>ROW() - ROW(tblOdsustva[[#Headers],[ID]])</f>
        <v>419</v>
      </c>
      <c r="K420" s="15"/>
    </row>
    <row r="421" spans="1:11" x14ac:dyDescent="0.3">
      <c r="A421">
        <f>ROW() - ROW(tblOdsustva[[#Headers],[ID]])</f>
        <v>420</v>
      </c>
      <c r="K421" s="15"/>
    </row>
    <row r="422" spans="1:11" x14ac:dyDescent="0.3">
      <c r="A422">
        <f>ROW() - ROW(tblOdsustva[[#Headers],[ID]])</f>
        <v>421</v>
      </c>
      <c r="K422" s="15"/>
    </row>
    <row r="423" spans="1:11" x14ac:dyDescent="0.3">
      <c r="A423">
        <f>ROW() - ROW(tblOdsustva[[#Headers],[ID]])</f>
        <v>422</v>
      </c>
      <c r="K423" s="15"/>
    </row>
    <row r="424" spans="1:11" x14ac:dyDescent="0.3">
      <c r="A424">
        <f>ROW() - ROW(tblOdsustva[[#Headers],[ID]])</f>
        <v>423</v>
      </c>
      <c r="K424" s="15"/>
    </row>
    <row r="425" spans="1:11" x14ac:dyDescent="0.3">
      <c r="A425">
        <f>ROW() - ROW(tblOdsustva[[#Headers],[ID]])</f>
        <v>424</v>
      </c>
      <c r="K425" s="15"/>
    </row>
    <row r="426" spans="1:11" x14ac:dyDescent="0.3">
      <c r="A426">
        <f>ROW() - ROW(tblOdsustva[[#Headers],[ID]])</f>
        <v>425</v>
      </c>
      <c r="K426" s="15"/>
    </row>
    <row r="427" spans="1:11" x14ac:dyDescent="0.3">
      <c r="A427">
        <f>ROW() - ROW(tblOdsustva[[#Headers],[ID]])</f>
        <v>426</v>
      </c>
      <c r="K427" s="15"/>
    </row>
    <row r="428" spans="1:11" x14ac:dyDescent="0.3">
      <c r="A428">
        <f>ROW() - ROW(tblOdsustva[[#Headers],[ID]])</f>
        <v>427</v>
      </c>
      <c r="K428" s="15"/>
    </row>
    <row r="429" spans="1:11" x14ac:dyDescent="0.3">
      <c r="A429">
        <f>ROW() - ROW(tblOdsustva[[#Headers],[ID]])</f>
        <v>428</v>
      </c>
      <c r="K429" s="15"/>
    </row>
    <row r="430" spans="1:11" x14ac:dyDescent="0.3">
      <c r="A430">
        <f>ROW() - ROW(tblOdsustva[[#Headers],[ID]])</f>
        <v>429</v>
      </c>
      <c r="K430" s="15"/>
    </row>
    <row r="431" spans="1:11" x14ac:dyDescent="0.3">
      <c r="A431">
        <f>ROW() - ROW(tblOdsustva[[#Headers],[ID]])</f>
        <v>430</v>
      </c>
      <c r="K431" s="15"/>
    </row>
    <row r="432" spans="1:11" x14ac:dyDescent="0.3">
      <c r="A432">
        <f>ROW() - ROW(tblOdsustva[[#Headers],[ID]])</f>
        <v>431</v>
      </c>
      <c r="K432" s="15"/>
    </row>
    <row r="433" spans="1:11" x14ac:dyDescent="0.3">
      <c r="A433">
        <f>ROW() - ROW(tblOdsustva[[#Headers],[ID]])</f>
        <v>432</v>
      </c>
      <c r="K433" s="15"/>
    </row>
    <row r="434" spans="1:11" x14ac:dyDescent="0.3">
      <c r="A434">
        <f>ROW() - ROW(tblOdsustva[[#Headers],[ID]])</f>
        <v>433</v>
      </c>
      <c r="K434" s="15"/>
    </row>
    <row r="435" spans="1:11" x14ac:dyDescent="0.3">
      <c r="A435">
        <f>ROW() - ROW(tblOdsustva[[#Headers],[ID]])</f>
        <v>434</v>
      </c>
      <c r="K435" s="15"/>
    </row>
    <row r="436" spans="1:11" x14ac:dyDescent="0.3">
      <c r="A436">
        <f>ROW() - ROW(tblOdsustva[[#Headers],[ID]])</f>
        <v>435</v>
      </c>
      <c r="K436" s="15"/>
    </row>
    <row r="437" spans="1:11" x14ac:dyDescent="0.3">
      <c r="A437">
        <f>ROW() - ROW(tblOdsustva[[#Headers],[ID]])</f>
        <v>436</v>
      </c>
      <c r="K437" s="15"/>
    </row>
    <row r="438" spans="1:11" x14ac:dyDescent="0.3">
      <c r="A438">
        <f>ROW() - ROW(tblOdsustva[[#Headers],[ID]])</f>
        <v>437</v>
      </c>
      <c r="K438" s="15"/>
    </row>
    <row r="439" spans="1:11" x14ac:dyDescent="0.3">
      <c r="A439">
        <f>ROW() - ROW(tblOdsustva[[#Headers],[ID]])</f>
        <v>438</v>
      </c>
      <c r="K439" s="15"/>
    </row>
    <row r="440" spans="1:11" x14ac:dyDescent="0.3">
      <c r="A440">
        <f>ROW() - ROW(tblOdsustva[[#Headers],[ID]])</f>
        <v>439</v>
      </c>
      <c r="K440" s="15"/>
    </row>
    <row r="441" spans="1:11" x14ac:dyDescent="0.3">
      <c r="A441">
        <f>ROW() - ROW(tblOdsustva[[#Headers],[ID]])</f>
        <v>440</v>
      </c>
      <c r="K441" s="15"/>
    </row>
    <row r="442" spans="1:11" x14ac:dyDescent="0.3">
      <c r="A442">
        <f>ROW() - ROW(tblOdsustva[[#Headers],[ID]])</f>
        <v>441</v>
      </c>
      <c r="K442" s="15"/>
    </row>
    <row r="443" spans="1:11" x14ac:dyDescent="0.3">
      <c r="A443">
        <f>ROW() - ROW(tblOdsustva[[#Headers],[ID]])</f>
        <v>442</v>
      </c>
      <c r="K443" s="15"/>
    </row>
    <row r="444" spans="1:11" x14ac:dyDescent="0.3">
      <c r="A444">
        <f>ROW() - ROW(tblOdsustva[[#Headers],[ID]])</f>
        <v>443</v>
      </c>
      <c r="K444" s="15"/>
    </row>
    <row r="445" spans="1:11" x14ac:dyDescent="0.3">
      <c r="A445">
        <f>ROW() - ROW(tblOdsustva[[#Headers],[ID]])</f>
        <v>444</v>
      </c>
      <c r="K445" s="15"/>
    </row>
    <row r="446" spans="1:11" x14ac:dyDescent="0.3">
      <c r="A446">
        <f>ROW() - ROW(tblOdsustva[[#Headers],[ID]])</f>
        <v>445</v>
      </c>
      <c r="K446" s="15"/>
    </row>
    <row r="447" spans="1:11" x14ac:dyDescent="0.3">
      <c r="A447">
        <f>ROW() - ROW(tblOdsustva[[#Headers],[ID]])</f>
        <v>446</v>
      </c>
      <c r="K447" s="15"/>
    </row>
    <row r="448" spans="1:11" x14ac:dyDescent="0.3">
      <c r="A448">
        <f>ROW() - ROW(tblOdsustva[[#Headers],[ID]])</f>
        <v>447</v>
      </c>
      <c r="K448" s="15"/>
    </row>
    <row r="449" spans="1:11" x14ac:dyDescent="0.3">
      <c r="A449">
        <f>ROW() - ROW(tblOdsustva[[#Headers],[ID]])</f>
        <v>448</v>
      </c>
      <c r="K449" s="15"/>
    </row>
    <row r="450" spans="1:11" x14ac:dyDescent="0.3">
      <c r="A450">
        <f>ROW() - ROW(tblOdsustva[[#Headers],[ID]])</f>
        <v>449</v>
      </c>
      <c r="K450" s="15"/>
    </row>
    <row r="451" spans="1:11" x14ac:dyDescent="0.3">
      <c r="A451">
        <f>ROW() - ROW(tblOdsustva[[#Headers],[ID]])</f>
        <v>450</v>
      </c>
      <c r="K451" s="15"/>
    </row>
    <row r="452" spans="1:11" x14ac:dyDescent="0.3">
      <c r="A452">
        <f>ROW() - ROW(tblOdsustva[[#Headers],[ID]])</f>
        <v>451</v>
      </c>
      <c r="K452" s="15"/>
    </row>
    <row r="453" spans="1:11" x14ac:dyDescent="0.3">
      <c r="A453">
        <f>ROW() - ROW(tblOdsustva[[#Headers],[ID]])</f>
        <v>452</v>
      </c>
      <c r="K453" s="15"/>
    </row>
    <row r="454" spans="1:11" x14ac:dyDescent="0.3">
      <c r="A454">
        <f>ROW() - ROW(tblOdsustva[[#Headers],[ID]])</f>
        <v>453</v>
      </c>
      <c r="K454" s="15"/>
    </row>
    <row r="455" spans="1:11" x14ac:dyDescent="0.3">
      <c r="A455">
        <f>ROW() - ROW(tblOdsustva[[#Headers],[ID]])</f>
        <v>454</v>
      </c>
      <c r="K455" s="15"/>
    </row>
    <row r="456" spans="1:11" x14ac:dyDescent="0.3">
      <c r="A456">
        <f>ROW() - ROW(tblOdsustva[[#Headers],[ID]])</f>
        <v>455</v>
      </c>
      <c r="K456" s="15"/>
    </row>
    <row r="457" spans="1:11" x14ac:dyDescent="0.3">
      <c r="A457">
        <f>ROW() - ROW(tblOdsustva[[#Headers],[ID]])</f>
        <v>456</v>
      </c>
      <c r="K457" s="15"/>
    </row>
    <row r="458" spans="1:11" x14ac:dyDescent="0.3">
      <c r="A458">
        <f>ROW() - ROW(tblOdsustva[[#Headers],[ID]])</f>
        <v>457</v>
      </c>
      <c r="K458" s="15"/>
    </row>
    <row r="459" spans="1:11" x14ac:dyDescent="0.3">
      <c r="A459">
        <f>ROW() - ROW(tblOdsustva[[#Headers],[ID]])</f>
        <v>458</v>
      </c>
      <c r="K459" s="15"/>
    </row>
    <row r="460" spans="1:11" x14ac:dyDescent="0.3">
      <c r="A460">
        <f>ROW() - ROW(tblOdsustva[[#Headers],[ID]])</f>
        <v>459</v>
      </c>
      <c r="K460" s="15"/>
    </row>
    <row r="461" spans="1:11" x14ac:dyDescent="0.3">
      <c r="A461">
        <f>ROW() - ROW(tblOdsustva[[#Headers],[ID]])</f>
        <v>460</v>
      </c>
      <c r="K461" s="15"/>
    </row>
    <row r="462" spans="1:11" x14ac:dyDescent="0.3">
      <c r="A462">
        <f>ROW() - ROW(tblOdsustva[[#Headers],[ID]])</f>
        <v>461</v>
      </c>
      <c r="K462" s="15"/>
    </row>
    <row r="463" spans="1:11" x14ac:dyDescent="0.3">
      <c r="A463">
        <f>ROW() - ROW(tblOdsustva[[#Headers],[ID]])</f>
        <v>462</v>
      </c>
      <c r="K463" s="15"/>
    </row>
    <row r="464" spans="1:11" x14ac:dyDescent="0.3">
      <c r="A464">
        <f>ROW() - ROW(tblOdsustva[[#Headers],[ID]])</f>
        <v>463</v>
      </c>
      <c r="K464" s="15"/>
    </row>
    <row r="465" spans="1:11" x14ac:dyDescent="0.3">
      <c r="A465">
        <f>ROW() - ROW(tblOdsustva[[#Headers],[ID]])</f>
        <v>464</v>
      </c>
      <c r="K465" s="15"/>
    </row>
    <row r="466" spans="1:11" x14ac:dyDescent="0.3">
      <c r="A466">
        <f>ROW() - ROW(tblOdsustva[[#Headers],[ID]])</f>
        <v>465</v>
      </c>
      <c r="K466" s="15"/>
    </row>
    <row r="467" spans="1:11" x14ac:dyDescent="0.3">
      <c r="A467">
        <f>ROW() - ROW(tblOdsustva[[#Headers],[ID]])</f>
        <v>466</v>
      </c>
      <c r="K467" s="15"/>
    </row>
    <row r="468" spans="1:11" x14ac:dyDescent="0.3">
      <c r="A468">
        <f>ROW() - ROW(tblOdsustva[[#Headers],[ID]])</f>
        <v>467</v>
      </c>
      <c r="K468" s="15"/>
    </row>
    <row r="469" spans="1:11" x14ac:dyDescent="0.3">
      <c r="A469">
        <f>ROW() - ROW(tblOdsustva[[#Headers],[ID]])</f>
        <v>468</v>
      </c>
      <c r="K469" s="15"/>
    </row>
    <row r="470" spans="1:11" x14ac:dyDescent="0.3">
      <c r="A470">
        <f>ROW() - ROW(tblOdsustva[[#Headers],[ID]])</f>
        <v>469</v>
      </c>
      <c r="K470" s="15"/>
    </row>
    <row r="471" spans="1:11" x14ac:dyDescent="0.3">
      <c r="A471">
        <f>ROW() - ROW(tblOdsustva[[#Headers],[ID]])</f>
        <v>470</v>
      </c>
      <c r="K471" s="15"/>
    </row>
    <row r="472" spans="1:11" x14ac:dyDescent="0.3">
      <c r="A472">
        <f>ROW() - ROW(tblOdsustva[[#Headers],[ID]])</f>
        <v>471</v>
      </c>
      <c r="K472" s="15"/>
    </row>
    <row r="473" spans="1:11" x14ac:dyDescent="0.3">
      <c r="A473">
        <f>ROW() - ROW(tblOdsustva[[#Headers],[ID]])</f>
        <v>472</v>
      </c>
      <c r="K473" s="15"/>
    </row>
    <row r="474" spans="1:11" x14ac:dyDescent="0.3">
      <c r="A474">
        <f>ROW() - ROW(tblOdsustva[[#Headers],[ID]])</f>
        <v>473</v>
      </c>
      <c r="K474" s="15"/>
    </row>
    <row r="475" spans="1:11" x14ac:dyDescent="0.3">
      <c r="A475">
        <f>ROW() - ROW(tblOdsustva[[#Headers],[ID]])</f>
        <v>474</v>
      </c>
      <c r="K475" s="15"/>
    </row>
    <row r="476" spans="1:11" x14ac:dyDescent="0.3">
      <c r="A476">
        <f>ROW() - ROW(tblOdsustva[[#Headers],[ID]])</f>
        <v>475</v>
      </c>
      <c r="K476" s="15"/>
    </row>
    <row r="477" spans="1:11" x14ac:dyDescent="0.3">
      <c r="A477">
        <f>ROW() - ROW(tblOdsustva[[#Headers],[ID]])</f>
        <v>476</v>
      </c>
      <c r="K477" s="15"/>
    </row>
    <row r="478" spans="1:11" x14ac:dyDescent="0.3">
      <c r="A478">
        <f>ROW() - ROW(tblOdsustva[[#Headers],[ID]])</f>
        <v>477</v>
      </c>
      <c r="K478" s="15"/>
    </row>
    <row r="479" spans="1:11" x14ac:dyDescent="0.3">
      <c r="A479">
        <f>ROW() - ROW(tblOdsustva[[#Headers],[ID]])</f>
        <v>478</v>
      </c>
      <c r="K479" s="15"/>
    </row>
    <row r="480" spans="1:11" x14ac:dyDescent="0.3">
      <c r="A480">
        <f>ROW() - ROW(tblOdsustva[[#Headers],[ID]])</f>
        <v>479</v>
      </c>
      <c r="K480" s="15"/>
    </row>
    <row r="481" spans="1:11" x14ac:dyDescent="0.3">
      <c r="A481">
        <f>ROW() - ROW(tblOdsustva[[#Headers],[ID]])</f>
        <v>480</v>
      </c>
      <c r="K481" s="15"/>
    </row>
    <row r="482" spans="1:11" x14ac:dyDescent="0.3">
      <c r="A482">
        <f>ROW() - ROW(tblOdsustva[[#Headers],[ID]])</f>
        <v>481</v>
      </c>
      <c r="K482" s="15"/>
    </row>
    <row r="483" spans="1:11" x14ac:dyDescent="0.3">
      <c r="A483">
        <f>ROW() - ROW(tblOdsustva[[#Headers],[ID]])</f>
        <v>482</v>
      </c>
      <c r="K483" s="15"/>
    </row>
    <row r="484" spans="1:11" x14ac:dyDescent="0.3">
      <c r="A484">
        <f>ROW() - ROW(tblOdsustva[[#Headers],[ID]])</f>
        <v>483</v>
      </c>
      <c r="K484" s="15"/>
    </row>
    <row r="485" spans="1:11" x14ac:dyDescent="0.3">
      <c r="A485">
        <f>ROW() - ROW(tblOdsustva[[#Headers],[ID]])</f>
        <v>484</v>
      </c>
      <c r="K485" s="15"/>
    </row>
    <row r="486" spans="1:11" x14ac:dyDescent="0.3">
      <c r="A486">
        <f>ROW() - ROW(tblOdsustva[[#Headers],[ID]])</f>
        <v>485</v>
      </c>
      <c r="K486" s="15"/>
    </row>
    <row r="487" spans="1:11" x14ac:dyDescent="0.3">
      <c r="A487">
        <f>ROW() - ROW(tblOdsustva[[#Headers],[ID]])</f>
        <v>486</v>
      </c>
      <c r="K487" s="15"/>
    </row>
    <row r="488" spans="1:11" x14ac:dyDescent="0.3">
      <c r="A488">
        <f>ROW() - ROW(tblOdsustva[[#Headers],[ID]])</f>
        <v>487</v>
      </c>
      <c r="K488" s="15"/>
    </row>
    <row r="489" spans="1:11" x14ac:dyDescent="0.3">
      <c r="A489">
        <f>ROW() - ROW(tblOdsustva[[#Headers],[ID]])</f>
        <v>488</v>
      </c>
      <c r="K489" s="15"/>
    </row>
    <row r="490" spans="1:11" x14ac:dyDescent="0.3">
      <c r="A490">
        <f>ROW() - ROW(tblOdsustva[[#Headers],[ID]])</f>
        <v>489</v>
      </c>
      <c r="K490" s="15"/>
    </row>
    <row r="491" spans="1:11" x14ac:dyDescent="0.3">
      <c r="A491">
        <f>ROW() - ROW(tblOdsustva[[#Headers],[ID]])</f>
        <v>490</v>
      </c>
      <c r="K491" s="15"/>
    </row>
    <row r="492" spans="1:11" x14ac:dyDescent="0.3">
      <c r="A492">
        <f>ROW() - ROW(tblOdsustva[[#Headers],[ID]])</f>
        <v>491</v>
      </c>
      <c r="K492" s="15"/>
    </row>
    <row r="493" spans="1:11" x14ac:dyDescent="0.3">
      <c r="A493">
        <f>ROW() - ROW(tblOdsustva[[#Headers],[ID]])</f>
        <v>492</v>
      </c>
      <c r="K493" s="15"/>
    </row>
    <row r="494" spans="1:11" x14ac:dyDescent="0.3">
      <c r="A494">
        <f>ROW() - ROW(tblOdsustva[[#Headers],[ID]])</f>
        <v>493</v>
      </c>
      <c r="K494" s="15"/>
    </row>
    <row r="495" spans="1:11" x14ac:dyDescent="0.3">
      <c r="A495">
        <f>ROW() - ROW(tblOdsustva[[#Headers],[ID]])</f>
        <v>494</v>
      </c>
      <c r="K495" s="15"/>
    </row>
    <row r="496" spans="1:11" x14ac:dyDescent="0.3">
      <c r="A496">
        <f>ROW() - ROW(tblOdsustva[[#Headers],[ID]])</f>
        <v>495</v>
      </c>
      <c r="K496" s="15"/>
    </row>
    <row r="497" spans="1:11" x14ac:dyDescent="0.3">
      <c r="A497">
        <f>ROW() - ROW(tblOdsustva[[#Headers],[ID]])</f>
        <v>496</v>
      </c>
      <c r="K497" s="15"/>
    </row>
    <row r="498" spans="1:11" x14ac:dyDescent="0.3">
      <c r="A498">
        <f>ROW() - ROW(tblOdsustva[[#Headers],[ID]])</f>
        <v>497</v>
      </c>
      <c r="K498" s="15"/>
    </row>
    <row r="499" spans="1:11" x14ac:dyDescent="0.3">
      <c r="A499">
        <f>ROW() - ROW(tblOdsustva[[#Headers],[ID]])</f>
        <v>498</v>
      </c>
      <c r="K499" s="15"/>
    </row>
    <row r="500" spans="1:11" x14ac:dyDescent="0.3">
      <c r="A500">
        <f>ROW() - ROW(tblOdsustva[[#Headers],[ID]])</f>
        <v>499</v>
      </c>
      <c r="K500" s="15"/>
    </row>
    <row r="501" spans="1:11" x14ac:dyDescent="0.3">
      <c r="K501" s="15"/>
    </row>
  </sheetData>
  <dataValidations count="1">
    <dataValidation type="list" sqref="K2:K501" xr:uid="{00000000-0002-0000-0500-000000000000}">
      <formula1>"DA,NE"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D858A2-45F7-4E09-9616-400AE0BC6783}">
          <x14:formula1>
            <xm:f>Zaposleni!$I$2:$I$30</xm:f>
          </x14:formula1>
          <xm:sqref>B10:B20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workbookViewId="0">
      <pane ySplit="6" topLeftCell="A7" activePane="bottomLeft" state="frozen"/>
      <selection pane="bottomLeft" activeCell="A22" sqref="A22"/>
    </sheetView>
  </sheetViews>
  <sheetFormatPr defaultRowHeight="14.4" x14ac:dyDescent="0.3"/>
  <cols>
    <col min="1" max="1" width="26" customWidth="1"/>
    <col min="2" max="8" width="16" customWidth="1"/>
  </cols>
  <sheetData>
    <row r="1" spans="1:8" ht="18" x14ac:dyDescent="0.3">
      <c r="A1" s="29" t="s">
        <v>156</v>
      </c>
      <c r="B1" s="30"/>
      <c r="C1" s="30"/>
      <c r="D1" s="30"/>
      <c r="E1" s="30"/>
      <c r="F1" s="30"/>
      <c r="G1" s="30"/>
      <c r="H1" s="30"/>
    </row>
    <row r="3" spans="1:8" x14ac:dyDescent="0.3">
      <c r="A3" s="1" t="s">
        <v>157</v>
      </c>
      <c r="B3">
        <v>2026</v>
      </c>
    </row>
    <row r="5" spans="1:8" x14ac:dyDescent="0.3">
      <c r="A5" s="1" t="s">
        <v>158</v>
      </c>
    </row>
    <row r="6" spans="1:8" ht="27.9" customHeight="1" x14ac:dyDescent="0.3">
      <c r="A6" s="9" t="s">
        <v>119</v>
      </c>
      <c r="B6" s="9" t="s">
        <v>159</v>
      </c>
      <c r="C6" s="9" t="s">
        <v>160</v>
      </c>
      <c r="D6" s="9" t="s">
        <v>161</v>
      </c>
      <c r="E6" s="9" t="s">
        <v>162</v>
      </c>
      <c r="F6" s="9" t="s">
        <v>163</v>
      </c>
      <c r="G6" s="9" t="s">
        <v>164</v>
      </c>
      <c r="H6" s="9" t="s">
        <v>165</v>
      </c>
    </row>
    <row r="7" spans="1:8" x14ac:dyDescent="0.3">
      <c r="A7" s="10" t="s">
        <v>64</v>
      </c>
      <c r="B7" s="10">
        <f>SUMIFS(Odsustva!$F$2:$F$500,Odsustva!$B$2:$B$500,$A7,Odsustva!$C$2:$C$500,"BO",Odsustva!$G$2:$G$500,$B$3,Odsustva!$J$2:$J$500,"&lt;&gt;Otkazano")</f>
        <v>0</v>
      </c>
      <c r="C7" s="10">
        <f>SUMIFS(Odsustva!$F$2:$F$500,Odsustva!$B$2:$B$500,$A7,Odsustva!$C$2:$C$500,"GO",Odsustva!$G$2:$G$500,$B$3,Odsustva!$J$2:$J$500,"&lt;&gt;Otkazano")</f>
        <v>0</v>
      </c>
      <c r="D7" s="10">
        <f>SUMIFS(Odsustva!$F$2:$F$500,Odsustva!$B$2:$B$500,$A7,Odsustva!$C$2:$C$500,"FA",Odsustva!$G$2:$G$500,$B$3,Odsustva!$J$2:$J$500,"&lt;&gt;Otkazano")</f>
        <v>0</v>
      </c>
      <c r="E7" s="10">
        <f>SUMIFS(Odsustva!$F$2:$F$500,Odsustva!$B$2:$B$500,$A7,Odsustva!$C$2:$C$500,"NP",Odsustva!$G$2:$G$500,$B$3,Odsustva!$J$2:$J$500,"&lt;&gt;Otkazano")</f>
        <v>0</v>
      </c>
      <c r="F7" s="10">
        <f>SUMIFS(Odsustva!$F$2:$F$500,Odsustva!$B$2:$B$500,$A7,Odsustva!$C$2:$C$500,"OS",Odsustva!$G$2:$G$500,$B$3,Odsustva!$J$2:$J$500,"&lt;&gt;Otkazano")</f>
        <v>0</v>
      </c>
      <c r="G7" s="10">
        <f>SUMIFS(Odsustva!$F$2:$F$500,Odsustva!$B$2:$B$500,$A7,Odsustva!$C$2:$C$500,"SV",Odsustva!$G$2:$G$500,$B$3,Odsustva!$J$2:$J$500,"&lt;&gt;Otkazano")</f>
        <v>0</v>
      </c>
      <c r="H7" s="10">
        <f t="shared" ref="H7:H22" si="0">SUM(B7:G7)</f>
        <v>0</v>
      </c>
    </row>
    <row r="8" spans="1:8" x14ac:dyDescent="0.3">
      <c r="A8" s="10" t="s">
        <v>67</v>
      </c>
      <c r="B8" s="10">
        <f>SUMIFS(Odsustva!$F$2:$F$500,Odsustva!$B$2:$B$500,$A8,Odsustva!$C$2:$C$500,"BO",Odsustva!$G$2:$G$500,$B$3,Odsustva!$J$2:$J$500,"&lt;&gt;Otkazano")</f>
        <v>0</v>
      </c>
      <c r="C8" s="10">
        <f>SUMIFS(Odsustva!$F$2:$F$500,Odsustva!$B$2:$B$500,$A8,Odsustva!$C$2:$C$500,"GO",Odsustva!$G$2:$G$500,$B$3,Odsustva!$J$2:$J$500,"&lt;&gt;Otkazano")</f>
        <v>0</v>
      </c>
      <c r="D8" s="10">
        <f>SUMIFS(Odsustva!$F$2:$F$500,Odsustva!$B$2:$B$500,$A8,Odsustva!$C$2:$C$500,"FA",Odsustva!$G$2:$G$500,$B$3,Odsustva!$J$2:$J$500,"&lt;&gt;Otkazano")</f>
        <v>0</v>
      </c>
      <c r="E8" s="10">
        <f>SUMIFS(Odsustva!$F$2:$F$500,Odsustva!$B$2:$B$500,$A8,Odsustva!$C$2:$C$500,"NP",Odsustva!$G$2:$G$500,$B$3,Odsustva!$J$2:$J$500,"&lt;&gt;Otkazano")</f>
        <v>0</v>
      </c>
      <c r="F8" s="10">
        <f>SUMIFS(Odsustva!$F$2:$F$500,Odsustva!$B$2:$B$500,$A8,Odsustva!$C$2:$C$500,"OS",Odsustva!$G$2:$G$500,$B$3,Odsustva!$J$2:$J$500,"&lt;&gt;Otkazano")</f>
        <v>0</v>
      </c>
      <c r="G8" s="10">
        <f>SUMIFS(Odsustva!$F$2:$F$500,Odsustva!$B$2:$B$500,$A8,Odsustva!$C$2:$C$500,"SV",Odsustva!$G$2:$G$500,$B$3,Odsustva!$J$2:$J$500,"&lt;&gt;Otkazano")</f>
        <v>0</v>
      </c>
      <c r="H8" s="10">
        <f t="shared" si="0"/>
        <v>0</v>
      </c>
    </row>
    <row r="9" spans="1:8" x14ac:dyDescent="0.3">
      <c r="A9" s="10" t="s">
        <v>69</v>
      </c>
      <c r="B9" s="10">
        <f>SUMIFS(Odsustva!$F$2:$F$500,Odsustva!$B$2:$B$500,$A9,Odsustva!$C$2:$C$500,"BO",Odsustva!$G$2:$G$500,$B$3,Odsustva!$J$2:$J$500,"&lt;&gt;Otkazano")</f>
        <v>0</v>
      </c>
      <c r="C9" s="10">
        <f>SUMIFS(Odsustva!$F$2:$F$500,Odsustva!$B$2:$B$500,$A9,Odsustva!$C$2:$C$500,"GO",Odsustva!$G$2:$G$500,$B$3,Odsustva!$J$2:$J$500,"&lt;&gt;Otkazano")</f>
        <v>5</v>
      </c>
      <c r="D9" s="10">
        <f>SUMIFS(Odsustva!$F$2:$F$500,Odsustva!$B$2:$B$500,$A9,Odsustva!$C$2:$C$500,"FA",Odsustva!$G$2:$G$500,$B$3,Odsustva!$J$2:$J$500,"&lt;&gt;Otkazano")</f>
        <v>0</v>
      </c>
      <c r="E9" s="10">
        <f>SUMIFS(Odsustva!$F$2:$F$500,Odsustva!$B$2:$B$500,$A9,Odsustva!$C$2:$C$500,"NP",Odsustva!$G$2:$G$500,$B$3,Odsustva!$J$2:$J$500,"&lt;&gt;Otkazano")</f>
        <v>0</v>
      </c>
      <c r="F9" s="10">
        <f>SUMIFS(Odsustva!$F$2:$F$500,Odsustva!$B$2:$B$500,$A9,Odsustva!$C$2:$C$500,"OS",Odsustva!$G$2:$G$500,$B$3,Odsustva!$J$2:$J$500,"&lt;&gt;Otkazano")</f>
        <v>0</v>
      </c>
      <c r="G9" s="10">
        <f>SUMIFS(Odsustva!$F$2:$F$500,Odsustva!$B$2:$B$500,$A9,Odsustva!$C$2:$C$500,"SV",Odsustva!$G$2:$G$500,$B$3,Odsustva!$J$2:$J$500,"&lt;&gt;Otkazano")</f>
        <v>0</v>
      </c>
      <c r="H9" s="10">
        <f t="shared" si="0"/>
        <v>5</v>
      </c>
    </row>
    <row r="10" spans="1:8" x14ac:dyDescent="0.3">
      <c r="A10" s="10" t="s">
        <v>70</v>
      </c>
      <c r="B10" s="10">
        <f>SUMIFS(Odsustva!$F$2:$F$500,Odsustva!$B$2:$B$500,$A10,Odsustva!$C$2:$C$500,"BO",Odsustva!$G$2:$G$500,$B$3,Odsustva!$J$2:$J$500,"&lt;&gt;Otkazano")</f>
        <v>0</v>
      </c>
      <c r="C10" s="10">
        <f>SUMIFS(Odsustva!$F$2:$F$500,Odsustva!$B$2:$B$500,$A10,Odsustva!$C$2:$C$500,"GO",Odsustva!$G$2:$G$500,$B$3,Odsustva!$J$2:$J$500,"&lt;&gt;Otkazano")</f>
        <v>0</v>
      </c>
      <c r="D10" s="10">
        <f>SUMIFS(Odsustva!$F$2:$F$500,Odsustva!$B$2:$B$500,$A10,Odsustva!$C$2:$C$500,"FA",Odsustva!$G$2:$G$500,$B$3,Odsustva!$J$2:$J$500,"&lt;&gt;Otkazano")</f>
        <v>0</v>
      </c>
      <c r="E10" s="10">
        <f>SUMIFS(Odsustva!$F$2:$F$500,Odsustva!$B$2:$B$500,$A10,Odsustva!$C$2:$C$500,"NP",Odsustva!$G$2:$G$500,$B$3,Odsustva!$J$2:$J$500,"&lt;&gt;Otkazano")</f>
        <v>0</v>
      </c>
      <c r="F10" s="10">
        <f>SUMIFS(Odsustva!$F$2:$F$500,Odsustva!$B$2:$B$500,$A10,Odsustva!$C$2:$C$500,"OS",Odsustva!$G$2:$G$500,$B$3,Odsustva!$J$2:$J$500,"&lt;&gt;Otkazano")</f>
        <v>0</v>
      </c>
      <c r="G10" s="10">
        <f>SUMIFS(Odsustva!$F$2:$F$500,Odsustva!$B$2:$B$500,$A10,Odsustva!$C$2:$C$500,"SV",Odsustva!$G$2:$G$500,$B$3,Odsustva!$J$2:$J$500,"&lt;&gt;Otkazano")</f>
        <v>0</v>
      </c>
      <c r="H10" s="10">
        <f t="shared" si="0"/>
        <v>0</v>
      </c>
    </row>
    <row r="11" spans="1:8" x14ac:dyDescent="0.3">
      <c r="A11" s="10" t="s">
        <v>72</v>
      </c>
      <c r="B11" s="10">
        <f>SUMIFS(Odsustva!$F$2:$F$500,Odsustva!$B$2:$B$500,$A11,Odsustva!$C$2:$C$500,"BO",Odsustva!$G$2:$G$500,$B$3,Odsustva!$J$2:$J$500,"&lt;&gt;Otkazano")</f>
        <v>0</v>
      </c>
      <c r="C11" s="10">
        <f>SUMIFS(Odsustva!$F$2:$F$500,Odsustva!$B$2:$B$500,$A11,Odsustva!$C$2:$C$500,"GO",Odsustva!$G$2:$G$500,$B$3,Odsustva!$J$2:$J$500,"&lt;&gt;Otkazano")</f>
        <v>4</v>
      </c>
      <c r="D11" s="10">
        <f>SUMIFS(Odsustva!$F$2:$F$500,Odsustva!$B$2:$B$500,$A11,Odsustva!$C$2:$C$500,"FA",Odsustva!$G$2:$G$500,$B$3,Odsustva!$J$2:$J$500,"&lt;&gt;Otkazano")</f>
        <v>0</v>
      </c>
      <c r="E11" s="10">
        <f>SUMIFS(Odsustva!$F$2:$F$500,Odsustva!$B$2:$B$500,$A11,Odsustva!$C$2:$C$500,"NP",Odsustva!$G$2:$G$500,$B$3,Odsustva!$J$2:$J$500,"&lt;&gt;Otkazano")</f>
        <v>0</v>
      </c>
      <c r="F11" s="10">
        <f>SUMIFS(Odsustva!$F$2:$F$500,Odsustva!$B$2:$B$500,$A11,Odsustva!$C$2:$C$500,"OS",Odsustva!$G$2:$G$500,$B$3,Odsustva!$J$2:$J$500,"&lt;&gt;Otkazano")</f>
        <v>0</v>
      </c>
      <c r="G11" s="10">
        <f>SUMIFS(Odsustva!$F$2:$F$500,Odsustva!$B$2:$B$500,$A11,Odsustva!$C$2:$C$500,"SV",Odsustva!$G$2:$G$500,$B$3,Odsustva!$J$2:$J$500,"&lt;&gt;Otkazano")</f>
        <v>0</v>
      </c>
      <c r="H11" s="10">
        <f t="shared" si="0"/>
        <v>4</v>
      </c>
    </row>
    <row r="12" spans="1:8" x14ac:dyDescent="0.3">
      <c r="A12" s="10" t="s">
        <v>73</v>
      </c>
      <c r="B12" s="10">
        <f>SUMIFS(Odsustva!$F$2:$F$500,Odsustva!$B$2:$B$500,$A12,Odsustva!$C$2:$C$500,"BO",Odsustva!$G$2:$G$500,$B$3,Odsustva!$J$2:$J$500,"&lt;&gt;Otkazano")</f>
        <v>0</v>
      </c>
      <c r="C12" s="10">
        <f>SUMIFS(Odsustva!$F$2:$F$500,Odsustva!$B$2:$B$500,$A12,Odsustva!$C$2:$C$500,"GO",Odsustva!$G$2:$G$500,$B$3,Odsustva!$J$2:$J$500,"&lt;&gt;Otkazano")</f>
        <v>0</v>
      </c>
      <c r="D12" s="10">
        <f>SUMIFS(Odsustva!$F$2:$F$500,Odsustva!$B$2:$B$500,$A12,Odsustva!$C$2:$C$500,"FA",Odsustva!$G$2:$G$500,$B$3,Odsustva!$J$2:$J$500,"&lt;&gt;Otkazano")</f>
        <v>0</v>
      </c>
      <c r="E12" s="10">
        <f>SUMIFS(Odsustva!$F$2:$F$500,Odsustva!$B$2:$B$500,$A12,Odsustva!$C$2:$C$500,"NP",Odsustva!$G$2:$G$500,$B$3,Odsustva!$J$2:$J$500,"&lt;&gt;Otkazano")</f>
        <v>0</v>
      </c>
      <c r="F12" s="10">
        <f>SUMIFS(Odsustva!$F$2:$F$500,Odsustva!$B$2:$B$500,$A12,Odsustva!$C$2:$C$500,"OS",Odsustva!$G$2:$G$500,$B$3,Odsustva!$J$2:$J$500,"&lt;&gt;Otkazano")</f>
        <v>0</v>
      </c>
      <c r="G12" s="10">
        <f>SUMIFS(Odsustva!$F$2:$F$500,Odsustva!$B$2:$B$500,$A12,Odsustva!$C$2:$C$500,"SV",Odsustva!$G$2:$G$500,$B$3,Odsustva!$J$2:$J$500,"&lt;&gt;Otkazano")</f>
        <v>0</v>
      </c>
      <c r="H12" s="10">
        <f t="shared" si="0"/>
        <v>0</v>
      </c>
    </row>
    <row r="13" spans="1:8" x14ac:dyDescent="0.3">
      <c r="A13" s="10" t="s">
        <v>74</v>
      </c>
      <c r="B13" s="10">
        <f>SUMIFS(Odsustva!$F$2:$F$500,Odsustva!$B$2:$B$500,$A13,Odsustva!$C$2:$C$500,"BO",Odsustva!$G$2:$G$500,$B$3,Odsustva!$J$2:$J$500,"&lt;&gt;Otkazano")</f>
        <v>0</v>
      </c>
      <c r="C13" s="10">
        <f>SUMIFS(Odsustva!$F$2:$F$500,Odsustva!$B$2:$B$500,$A13,Odsustva!$C$2:$C$500,"GO",Odsustva!$G$2:$G$500,$B$3,Odsustva!$J$2:$J$500,"&lt;&gt;Otkazano")</f>
        <v>4</v>
      </c>
      <c r="D13" s="10">
        <f>SUMIFS(Odsustva!$F$2:$F$500,Odsustva!$B$2:$B$500,$A13,Odsustva!$C$2:$C$500,"FA",Odsustva!$G$2:$G$500,$B$3,Odsustva!$J$2:$J$500,"&lt;&gt;Otkazano")</f>
        <v>0</v>
      </c>
      <c r="E13" s="10">
        <f>SUMIFS(Odsustva!$F$2:$F$500,Odsustva!$B$2:$B$500,$A13,Odsustva!$C$2:$C$500,"NP",Odsustva!$G$2:$G$500,$B$3,Odsustva!$J$2:$J$500,"&lt;&gt;Otkazano")</f>
        <v>2</v>
      </c>
      <c r="F13" s="10">
        <f>SUMIFS(Odsustva!$F$2:$F$500,Odsustva!$B$2:$B$500,$A13,Odsustva!$C$2:$C$500,"OS",Odsustva!$G$2:$G$500,$B$3,Odsustva!$J$2:$J$500,"&lt;&gt;Otkazano")</f>
        <v>0</v>
      </c>
      <c r="G13" s="10">
        <f>SUMIFS(Odsustva!$F$2:$F$500,Odsustva!$B$2:$B$500,$A13,Odsustva!$C$2:$C$500,"SV",Odsustva!$G$2:$G$500,$B$3,Odsustva!$J$2:$J$500,"&lt;&gt;Otkazano")</f>
        <v>0</v>
      </c>
      <c r="H13" s="10">
        <f t="shared" si="0"/>
        <v>6</v>
      </c>
    </row>
    <row r="14" spans="1:8" x14ac:dyDescent="0.3">
      <c r="A14" s="10" t="s">
        <v>75</v>
      </c>
      <c r="B14" s="10">
        <f>SUMIFS(Odsustva!$F$2:$F$500,Odsustva!$B$2:$B$500,$A14,Odsustva!$C$2:$C$500,"BO",Odsustva!$G$2:$G$500,$B$3,Odsustva!$J$2:$J$500,"&lt;&gt;Otkazano")</f>
        <v>0</v>
      </c>
      <c r="C14" s="10">
        <f>SUMIFS(Odsustva!$F$2:$F$500,Odsustva!$B$2:$B$500,$A14,Odsustva!$C$2:$C$500,"GO",Odsustva!$G$2:$G$500,$B$3,Odsustva!$J$2:$J$500,"&lt;&gt;Otkazano")</f>
        <v>0</v>
      </c>
      <c r="D14" s="10">
        <f>SUMIFS(Odsustva!$F$2:$F$500,Odsustva!$B$2:$B$500,$A14,Odsustva!$C$2:$C$500,"FA",Odsustva!$G$2:$G$500,$B$3,Odsustva!$J$2:$J$500,"&lt;&gt;Otkazano")</f>
        <v>0</v>
      </c>
      <c r="E14" s="10">
        <f>SUMIFS(Odsustva!$F$2:$F$500,Odsustva!$B$2:$B$500,$A14,Odsustva!$C$2:$C$500,"NP",Odsustva!$G$2:$G$500,$B$3,Odsustva!$J$2:$J$500,"&lt;&gt;Otkazano")</f>
        <v>0</v>
      </c>
      <c r="F14" s="10">
        <f>SUMIFS(Odsustva!$F$2:$F$500,Odsustva!$B$2:$B$500,$A14,Odsustva!$C$2:$C$500,"OS",Odsustva!$G$2:$G$500,$B$3,Odsustva!$J$2:$J$500,"&lt;&gt;Otkazano")</f>
        <v>0</v>
      </c>
      <c r="G14" s="10">
        <f>SUMIFS(Odsustva!$F$2:$F$500,Odsustva!$B$2:$B$500,$A14,Odsustva!$C$2:$C$500,"SV",Odsustva!$G$2:$G$500,$B$3,Odsustva!$J$2:$J$500,"&lt;&gt;Otkazano")</f>
        <v>0</v>
      </c>
      <c r="H14" s="10">
        <f t="shared" si="0"/>
        <v>0</v>
      </c>
    </row>
    <row r="15" spans="1:8" x14ac:dyDescent="0.3">
      <c r="A15" s="10" t="s">
        <v>77</v>
      </c>
      <c r="B15" s="10">
        <f>SUMIFS(Odsustva!$F$2:$F$500,Odsustva!$B$2:$B$500,$A15,Odsustva!$C$2:$C$500,"BO",Odsustva!$G$2:$G$500,$B$3,Odsustva!$J$2:$J$500,"&lt;&gt;Otkazano")</f>
        <v>0</v>
      </c>
      <c r="C15" s="10">
        <f>SUMIFS(Odsustva!$F$2:$F$500,Odsustva!$B$2:$B$500,$A15,Odsustva!$C$2:$C$500,"GO",Odsustva!$G$2:$G$500,$B$3,Odsustva!$J$2:$J$500,"&lt;&gt;Otkazano")</f>
        <v>0</v>
      </c>
      <c r="D15" s="10">
        <f>SUMIFS(Odsustva!$F$2:$F$500,Odsustva!$B$2:$B$500,$A15,Odsustva!$C$2:$C$500,"FA",Odsustva!$G$2:$G$500,$B$3,Odsustva!$J$2:$J$500,"&lt;&gt;Otkazano")</f>
        <v>0</v>
      </c>
      <c r="E15" s="10">
        <f>SUMIFS(Odsustva!$F$2:$F$500,Odsustva!$B$2:$B$500,$A15,Odsustva!$C$2:$C$500,"NP",Odsustva!$G$2:$G$500,$B$3,Odsustva!$J$2:$J$500,"&lt;&gt;Otkazano")</f>
        <v>0</v>
      </c>
      <c r="F15" s="10">
        <f>SUMIFS(Odsustva!$F$2:$F$500,Odsustva!$B$2:$B$500,$A15,Odsustva!$C$2:$C$500,"OS",Odsustva!$G$2:$G$500,$B$3,Odsustva!$J$2:$J$500,"&lt;&gt;Otkazano")</f>
        <v>0</v>
      </c>
      <c r="G15" s="10">
        <f>SUMIFS(Odsustva!$F$2:$F$500,Odsustva!$B$2:$B$500,$A15,Odsustva!$C$2:$C$500,"SV",Odsustva!$G$2:$G$500,$B$3,Odsustva!$J$2:$J$500,"&lt;&gt;Otkazano")</f>
        <v>0</v>
      </c>
      <c r="H15" s="10">
        <f t="shared" si="0"/>
        <v>0</v>
      </c>
    </row>
    <row r="16" spans="1:8" x14ac:dyDescent="0.3">
      <c r="A16" s="10" t="s">
        <v>78</v>
      </c>
      <c r="B16" s="10">
        <f>SUMIFS(Odsustva!$F$2:$F$500,Odsustva!$B$2:$B$500,$A16,Odsustva!$C$2:$C$500,"BO",Odsustva!$G$2:$G$500,$B$3,Odsustva!$J$2:$J$500,"&lt;&gt;Otkazano")</f>
        <v>0</v>
      </c>
      <c r="C16" s="10">
        <f>SUMIFS(Odsustva!$F$2:$F$500,Odsustva!$B$2:$B$500,$A16,Odsustva!$C$2:$C$500,"GO",Odsustva!$G$2:$G$500,$B$3,Odsustva!$J$2:$J$500,"&lt;&gt;Otkazano")</f>
        <v>0</v>
      </c>
      <c r="D16" s="10">
        <f>SUMIFS(Odsustva!$F$2:$F$500,Odsustva!$B$2:$B$500,$A16,Odsustva!$C$2:$C$500,"FA",Odsustva!$G$2:$G$500,$B$3,Odsustva!$J$2:$J$500,"&lt;&gt;Otkazano")</f>
        <v>0</v>
      </c>
      <c r="E16" s="10">
        <f>SUMIFS(Odsustva!$F$2:$F$500,Odsustva!$B$2:$B$500,$A16,Odsustva!$C$2:$C$500,"NP",Odsustva!$G$2:$G$500,$B$3,Odsustva!$J$2:$J$500,"&lt;&gt;Otkazano")</f>
        <v>0</v>
      </c>
      <c r="F16" s="10">
        <f>SUMIFS(Odsustva!$F$2:$F$500,Odsustva!$B$2:$B$500,$A16,Odsustva!$C$2:$C$500,"OS",Odsustva!$G$2:$G$500,$B$3,Odsustva!$J$2:$J$500,"&lt;&gt;Otkazano")</f>
        <v>0</v>
      </c>
      <c r="G16" s="10">
        <f>SUMIFS(Odsustva!$F$2:$F$500,Odsustva!$B$2:$B$500,$A16,Odsustva!$C$2:$C$500,"SV",Odsustva!$G$2:$G$500,$B$3,Odsustva!$J$2:$J$500,"&lt;&gt;Otkazano")</f>
        <v>0</v>
      </c>
      <c r="H16" s="10">
        <f t="shared" si="0"/>
        <v>0</v>
      </c>
    </row>
    <row r="17" spans="1:8" x14ac:dyDescent="0.3">
      <c r="A17" s="10" t="s">
        <v>80</v>
      </c>
      <c r="B17" s="10">
        <f>SUMIFS(Odsustva!$F$2:$F$500,Odsustva!$B$2:$B$500,$A17,Odsustva!$C$2:$C$500,"BO",Odsustva!$G$2:$G$500,$B$3,Odsustva!$J$2:$J$500,"&lt;&gt;Otkazano")</f>
        <v>0</v>
      </c>
      <c r="C17" s="10">
        <f>SUMIFS(Odsustva!$F$2:$F$500,Odsustva!$B$2:$B$500,$A17,Odsustva!$C$2:$C$500,"GO",Odsustva!$G$2:$G$500,$B$3,Odsustva!$J$2:$J$500,"&lt;&gt;Otkazano")</f>
        <v>0</v>
      </c>
      <c r="D17" s="10">
        <f>SUMIFS(Odsustva!$F$2:$F$500,Odsustva!$B$2:$B$500,$A17,Odsustva!$C$2:$C$500,"FA",Odsustva!$G$2:$G$500,$B$3,Odsustva!$J$2:$J$500,"&lt;&gt;Otkazano")</f>
        <v>0</v>
      </c>
      <c r="E17" s="10">
        <f>SUMIFS(Odsustva!$F$2:$F$500,Odsustva!$B$2:$B$500,$A17,Odsustva!$C$2:$C$500,"NP",Odsustva!$G$2:$G$500,$B$3,Odsustva!$J$2:$J$500,"&lt;&gt;Otkazano")</f>
        <v>0</v>
      </c>
      <c r="F17" s="10">
        <f>SUMIFS(Odsustva!$F$2:$F$500,Odsustva!$B$2:$B$500,$A17,Odsustva!$C$2:$C$500,"OS",Odsustva!$G$2:$G$500,$B$3,Odsustva!$J$2:$J$500,"&lt;&gt;Otkazano")</f>
        <v>0</v>
      </c>
      <c r="G17" s="10">
        <f>SUMIFS(Odsustva!$F$2:$F$500,Odsustva!$B$2:$B$500,$A17,Odsustva!$C$2:$C$500,"SV",Odsustva!$G$2:$G$500,$B$3,Odsustva!$J$2:$J$500,"&lt;&gt;Otkazano")</f>
        <v>0</v>
      </c>
      <c r="H17" s="10">
        <f t="shared" si="0"/>
        <v>0</v>
      </c>
    </row>
    <row r="18" spans="1:8" x14ac:dyDescent="0.3">
      <c r="A18" s="10" t="s">
        <v>81</v>
      </c>
      <c r="B18" s="10">
        <f>SUMIFS(Odsustva!$F$2:$F$500,Odsustva!$B$2:$B$500,$A18,Odsustva!$C$2:$C$500,"BO",Odsustva!$G$2:$G$500,$B$3,Odsustva!$J$2:$J$500,"&lt;&gt;Otkazano")</f>
        <v>0</v>
      </c>
      <c r="C18" s="10">
        <f>SUMIFS(Odsustva!$F$2:$F$500,Odsustva!$B$2:$B$500,$A18,Odsustva!$C$2:$C$500,"GO",Odsustva!$G$2:$G$500,$B$3,Odsustva!$J$2:$J$500,"&lt;&gt;Otkazano")</f>
        <v>0</v>
      </c>
      <c r="D18" s="10">
        <f>SUMIFS(Odsustva!$F$2:$F$500,Odsustva!$B$2:$B$500,$A18,Odsustva!$C$2:$C$500,"FA",Odsustva!$G$2:$G$500,$B$3,Odsustva!$J$2:$J$500,"&lt;&gt;Otkazano")</f>
        <v>0</v>
      </c>
      <c r="E18" s="10">
        <f>SUMIFS(Odsustva!$F$2:$F$500,Odsustva!$B$2:$B$500,$A18,Odsustva!$C$2:$C$500,"NP",Odsustva!$G$2:$G$500,$B$3,Odsustva!$J$2:$J$500,"&lt;&gt;Otkazano")</f>
        <v>2</v>
      </c>
      <c r="F18" s="10">
        <f>SUMIFS(Odsustva!$F$2:$F$500,Odsustva!$B$2:$B$500,$A18,Odsustva!$C$2:$C$500,"OS",Odsustva!$G$2:$G$500,$B$3,Odsustva!$J$2:$J$500,"&lt;&gt;Otkazano")</f>
        <v>0</v>
      </c>
      <c r="G18" s="10">
        <f>SUMIFS(Odsustva!$F$2:$F$500,Odsustva!$B$2:$B$500,$A18,Odsustva!$C$2:$C$500,"SV",Odsustva!$G$2:$G$500,$B$3,Odsustva!$J$2:$J$500,"&lt;&gt;Otkazano")</f>
        <v>0</v>
      </c>
      <c r="H18" s="10">
        <f t="shared" si="0"/>
        <v>2</v>
      </c>
    </row>
    <row r="19" spans="1:8" x14ac:dyDescent="0.3">
      <c r="A19" s="10" t="s">
        <v>82</v>
      </c>
      <c r="B19" s="10">
        <f>SUMIFS(Odsustva!$F$2:$F$500,Odsustva!$B$2:$B$500,$A19,Odsustva!$C$2:$C$500,"BO",Odsustva!$G$2:$G$500,$B$3,Odsustva!$J$2:$J$500,"&lt;&gt;Otkazano")</f>
        <v>0</v>
      </c>
      <c r="C19" s="10">
        <f>SUMIFS(Odsustva!$F$2:$F$500,Odsustva!$B$2:$B$500,$A19,Odsustva!$C$2:$C$500,"GO",Odsustva!$G$2:$G$500,$B$3,Odsustva!$J$2:$J$500,"&lt;&gt;Otkazano")</f>
        <v>0</v>
      </c>
      <c r="D19" s="10">
        <f>SUMIFS(Odsustva!$F$2:$F$500,Odsustva!$B$2:$B$500,$A19,Odsustva!$C$2:$C$500,"FA",Odsustva!$G$2:$G$500,$B$3,Odsustva!$J$2:$J$500,"&lt;&gt;Otkazano")</f>
        <v>1</v>
      </c>
      <c r="E19" s="10">
        <f>SUMIFS(Odsustva!$F$2:$F$500,Odsustva!$B$2:$B$500,$A19,Odsustva!$C$2:$C$500,"NP",Odsustva!$G$2:$G$500,$B$3,Odsustva!$J$2:$J$500,"&lt;&gt;Otkazano")</f>
        <v>0</v>
      </c>
      <c r="F19" s="10">
        <f>SUMIFS(Odsustva!$F$2:$F$500,Odsustva!$B$2:$B$500,$A19,Odsustva!$C$2:$C$500,"OS",Odsustva!$G$2:$G$500,$B$3,Odsustva!$J$2:$J$500,"&lt;&gt;Otkazano")</f>
        <v>0</v>
      </c>
      <c r="G19" s="10">
        <f>SUMIFS(Odsustva!$F$2:$F$500,Odsustva!$B$2:$B$500,$A19,Odsustva!$C$2:$C$500,"SV",Odsustva!$G$2:$G$500,$B$3,Odsustva!$J$2:$J$500,"&lt;&gt;Otkazano")</f>
        <v>0</v>
      </c>
      <c r="H19" s="10">
        <f t="shared" si="0"/>
        <v>1</v>
      </c>
    </row>
    <row r="20" spans="1:8" x14ac:dyDescent="0.3">
      <c r="A20" s="10" t="s">
        <v>83</v>
      </c>
      <c r="B20" s="10">
        <f>SUMIFS(Odsustva!$F$2:$F$500,Odsustva!$B$2:$B$500,$A20,Odsustva!$C$2:$C$500,"BO",Odsustva!$G$2:$G$500,$B$3,Odsustva!$J$2:$J$500,"&lt;&gt;Otkazano")</f>
        <v>0</v>
      </c>
      <c r="C20" s="10">
        <f>SUMIFS(Odsustva!$F$2:$F$500,Odsustva!$B$2:$B$500,$A20,Odsustva!$C$2:$C$500,"GO",Odsustva!$G$2:$G$500,$B$3,Odsustva!$J$2:$J$500,"&lt;&gt;Otkazano")</f>
        <v>0</v>
      </c>
      <c r="D20" s="10">
        <f>SUMIFS(Odsustva!$F$2:$F$500,Odsustva!$B$2:$B$500,$A20,Odsustva!$C$2:$C$500,"FA",Odsustva!$G$2:$G$500,$B$3,Odsustva!$J$2:$J$500,"&lt;&gt;Otkazano")</f>
        <v>0</v>
      </c>
      <c r="E20" s="10">
        <f>SUMIFS(Odsustva!$F$2:$F$500,Odsustva!$B$2:$B$500,$A20,Odsustva!$C$2:$C$500,"NP",Odsustva!$G$2:$G$500,$B$3,Odsustva!$J$2:$J$500,"&lt;&gt;Otkazano")</f>
        <v>6</v>
      </c>
      <c r="F20" s="10">
        <f>SUMIFS(Odsustva!$F$2:$F$500,Odsustva!$B$2:$B$500,$A20,Odsustva!$C$2:$C$500,"OS",Odsustva!$G$2:$G$500,$B$3,Odsustva!$J$2:$J$500,"&lt;&gt;Otkazano")</f>
        <v>0</v>
      </c>
      <c r="G20" s="10">
        <f>SUMIFS(Odsustva!$F$2:$F$500,Odsustva!$B$2:$B$500,$A20,Odsustva!$C$2:$C$500,"SV",Odsustva!$G$2:$G$500,$B$3,Odsustva!$J$2:$J$500,"&lt;&gt;Otkazano")</f>
        <v>0</v>
      </c>
      <c r="H20" s="10">
        <f t="shared" si="0"/>
        <v>6</v>
      </c>
    </row>
    <row r="21" spans="1:8" x14ac:dyDescent="0.3">
      <c r="A21" s="10" t="s">
        <v>84</v>
      </c>
      <c r="B21" s="10">
        <f>SUMIFS(Odsustva!$F$2:$F$500,Odsustva!$B$2:$B$500,$A21,Odsustva!$C$2:$C$500,"BO",Odsustva!$G$2:$G$500,$B$3,Odsustva!$J$2:$J$500,"&lt;&gt;Otkazano")</f>
        <v>0</v>
      </c>
      <c r="C21" s="10">
        <f>SUMIFS(Odsustva!$F$2:$F$500,Odsustva!$B$2:$B$500,$A21,Odsustva!$C$2:$C$500,"GO",Odsustva!$G$2:$G$500,$B$3,Odsustva!$J$2:$J$500,"&lt;&gt;Otkazano")</f>
        <v>0</v>
      </c>
      <c r="D21" s="10">
        <f>SUMIFS(Odsustva!$F$2:$F$500,Odsustva!$B$2:$B$500,$A21,Odsustva!$C$2:$C$500,"FA",Odsustva!$G$2:$G$500,$B$3,Odsustva!$J$2:$J$500,"&lt;&gt;Otkazano")</f>
        <v>0</v>
      </c>
      <c r="E21" s="10">
        <f>SUMIFS(Odsustva!$F$2:$F$500,Odsustva!$B$2:$B$500,$A21,Odsustva!$C$2:$C$500,"NP",Odsustva!$G$2:$G$500,$B$3,Odsustva!$J$2:$J$500,"&lt;&gt;Otkazano")</f>
        <v>0</v>
      </c>
      <c r="F21" s="10">
        <f>SUMIFS(Odsustva!$F$2:$F$500,Odsustva!$B$2:$B$500,$A21,Odsustva!$C$2:$C$500,"OS",Odsustva!$G$2:$G$500,$B$3,Odsustva!$J$2:$J$500,"&lt;&gt;Otkazano")</f>
        <v>0</v>
      </c>
      <c r="G21" s="10">
        <f>SUMIFS(Odsustva!$F$2:$F$500,Odsustva!$B$2:$B$500,$A21,Odsustva!$C$2:$C$500,"SV",Odsustva!$G$2:$G$500,$B$3,Odsustva!$J$2:$J$500,"&lt;&gt;Otkazano")</f>
        <v>0</v>
      </c>
      <c r="H21" s="10">
        <f t="shared" si="0"/>
        <v>0</v>
      </c>
    </row>
    <row r="22" spans="1:8" x14ac:dyDescent="0.3">
      <c r="A22" s="10" t="s">
        <v>86</v>
      </c>
      <c r="B22" s="10">
        <f>SUMIFS(Odsustva!$F$2:$F$500,Odsustva!$B$2:$B$500,$A22,Odsustva!$C$2:$C$500,"BO",Odsustva!$G$2:$G$500,$B$3,Odsustva!$J$2:$J$500,"&lt;&gt;Otkazano")</f>
        <v>0</v>
      </c>
      <c r="C22" s="10">
        <f>SUMIFS(Odsustva!$F$2:$F$500,Odsustva!$B$2:$B$500,$A22,Odsustva!$C$2:$C$500,"GO",Odsustva!$G$2:$G$500,$B$3,Odsustva!$J$2:$J$500,"&lt;&gt;Otkazano")</f>
        <v>0</v>
      </c>
      <c r="D22" s="10">
        <f>SUMIFS(Odsustva!$F$2:$F$500,Odsustva!$B$2:$B$500,$A22,Odsustva!$C$2:$C$500,"FA",Odsustva!$G$2:$G$500,$B$3,Odsustva!$J$2:$J$500,"&lt;&gt;Otkazano")</f>
        <v>0</v>
      </c>
      <c r="E22" s="10">
        <f>SUMIFS(Odsustva!$F$2:$F$500,Odsustva!$B$2:$B$500,$A22,Odsustva!$C$2:$C$500,"NP",Odsustva!$G$2:$G$500,$B$3,Odsustva!$J$2:$J$500,"&lt;&gt;Otkazano")</f>
        <v>0</v>
      </c>
      <c r="F22" s="10">
        <f>SUMIFS(Odsustva!$F$2:$F$500,Odsustva!$B$2:$B$500,$A22,Odsustva!$C$2:$C$500,"OS",Odsustva!$G$2:$G$500,$B$3,Odsustva!$J$2:$J$500,"&lt;&gt;Otkazano")</f>
        <v>0</v>
      </c>
      <c r="G22" s="10">
        <f>SUMIFS(Odsustva!$F$2:$F$500,Odsustva!$B$2:$B$500,$A22,Odsustva!$C$2:$C$500,"SV",Odsustva!$G$2:$G$500,$B$3,Odsustva!$J$2:$J$500,"&lt;&gt;Otkazano")</f>
        <v>0</v>
      </c>
      <c r="H22" s="10">
        <f t="shared" si="0"/>
        <v>0</v>
      </c>
    </row>
    <row r="23" spans="1:8" x14ac:dyDescent="0.3">
      <c r="A23" s="16" t="s">
        <v>166</v>
      </c>
      <c r="B23" s="16">
        <f t="shared" ref="B23:H23" si="1">SUM(B7:B22)</f>
        <v>0</v>
      </c>
      <c r="C23" s="16">
        <f t="shared" si="1"/>
        <v>13</v>
      </c>
      <c r="D23" s="16">
        <f t="shared" si="1"/>
        <v>1</v>
      </c>
      <c r="E23" s="16">
        <f t="shared" si="1"/>
        <v>10</v>
      </c>
      <c r="F23" s="16">
        <f t="shared" si="1"/>
        <v>0</v>
      </c>
      <c r="G23" s="16">
        <f t="shared" si="1"/>
        <v>0</v>
      </c>
      <c r="H23" s="16">
        <f t="shared" si="1"/>
        <v>24</v>
      </c>
    </row>
  </sheetData>
  <mergeCells count="1">
    <mergeCell ref="A1:H1"/>
  </mergeCells>
  <dataValidations count="1">
    <dataValidation type="whole" sqref="B3" xr:uid="{00000000-0002-0000-0600-000000000000}">
      <formula1>2020</formula1>
      <formula2>2035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>
      <pane ySplit="4" topLeftCell="A5" activePane="bottomLeft" state="frozen"/>
      <selection pane="bottomLeft" activeCell="C18" sqref="C18"/>
    </sheetView>
  </sheetViews>
  <sheetFormatPr defaultRowHeight="14.4" x14ac:dyDescent="0.3"/>
  <cols>
    <col min="1" max="1" width="26" customWidth="1"/>
    <col min="2" max="2" width="20" customWidth="1"/>
    <col min="3" max="3" width="28" customWidth="1"/>
    <col min="4" max="4" width="22" customWidth="1"/>
    <col min="5" max="5" width="24" customWidth="1"/>
  </cols>
  <sheetData>
    <row r="1" spans="1:5" ht="18" x14ac:dyDescent="0.35">
      <c r="A1" s="32" t="s">
        <v>167</v>
      </c>
      <c r="B1" s="30"/>
      <c r="C1" s="30"/>
      <c r="D1" s="30"/>
      <c r="E1" s="30"/>
    </row>
    <row r="2" spans="1:5" x14ac:dyDescent="0.3">
      <c r="A2" s="31" t="s">
        <v>168</v>
      </c>
      <c r="B2" s="30"/>
      <c r="C2" s="30"/>
      <c r="D2" s="30"/>
      <c r="E2" s="30"/>
    </row>
    <row r="4" spans="1:5" ht="28.8" x14ac:dyDescent="0.3">
      <c r="A4" s="20" t="s">
        <v>119</v>
      </c>
      <c r="B4" s="20" t="s">
        <v>169</v>
      </c>
      <c r="C4" s="20" t="s">
        <v>170</v>
      </c>
      <c r="D4" s="20" t="s">
        <v>171</v>
      </c>
      <c r="E4" s="20" t="s">
        <v>126</v>
      </c>
    </row>
    <row r="5" spans="1:5" x14ac:dyDescent="0.3">
      <c r="A5" s="21" t="str">
        <f>GO_Saldo_Detaljno!A5</f>
        <v>Aleksandar Janković</v>
      </c>
      <c r="B5" s="26">
        <f>GO_Saldo_Detaljno!D5</f>
        <v>2</v>
      </c>
      <c r="C5" s="26">
        <f ca="1">IFERROR(GO_Saldo_Detaljno!I5+ GO_Saldo_Detaljno!J5,"")</f>
        <v>0</v>
      </c>
      <c r="D5" s="26">
        <f ca="1">GO_Saldo_Detaljno!L5</f>
        <v>22</v>
      </c>
      <c r="E5" s="21" t="str">
        <f ca="1">IFERROR("Isk:"&amp;TEXT(GO_Saldo_Detaljno!I5,"0.##")&amp;" | Plan:"&amp;TEXT(GO_Saldo_Detaljno!J5,"0.##"),"")</f>
        <v>Isk:0 | Plan:0</v>
      </c>
    </row>
    <row r="6" spans="1:5" x14ac:dyDescent="0.3">
      <c r="A6" s="21" t="str">
        <f>GO_Saldo_Detaljno!A6</f>
        <v>Dejan Đorić</v>
      </c>
      <c r="B6" s="26">
        <f>GO_Saldo_Detaljno!D6</f>
        <v>14</v>
      </c>
      <c r="C6" s="26">
        <f ca="1">IFERROR(GO_Saldo_Detaljno!I6+ GO_Saldo_Detaljno!J6,"")</f>
        <v>0</v>
      </c>
      <c r="D6" s="26">
        <f ca="1">GO_Saldo_Detaljno!L6</f>
        <v>34</v>
      </c>
      <c r="E6" s="21" t="str">
        <f ca="1">IFERROR("Isk:"&amp;TEXT(GO_Saldo_Detaljno!I6,"0.##")&amp;" | Plan:"&amp;TEXT(GO_Saldo_Detaljno!J6,"0.##"),"")</f>
        <v>Isk:0 | Plan:0</v>
      </c>
    </row>
    <row r="7" spans="1:5" x14ac:dyDescent="0.3">
      <c r="A7" s="21" t="str">
        <f>GO_Saldo_Detaljno!A7</f>
        <v>Dragan Babić</v>
      </c>
      <c r="B7" s="26">
        <f>GO_Saldo_Detaljno!D7</f>
        <v>10</v>
      </c>
      <c r="C7" s="26">
        <f ca="1">IFERROR(GO_Saldo_Detaljno!I7+ GO_Saldo_Detaljno!J7,"")</f>
        <v>0</v>
      </c>
      <c r="D7" s="26">
        <f ca="1">GO_Saldo_Detaljno!L7</f>
        <v>30</v>
      </c>
      <c r="E7" s="21" t="str">
        <f ca="1">IFERROR("Isk:"&amp;TEXT(GO_Saldo_Detaljno!I7,"0.##")&amp;" | Plan:"&amp;TEXT(GO_Saldo_Detaljno!J7,"0.##"),"")</f>
        <v>Isk:0 | Plan:0</v>
      </c>
    </row>
    <row r="8" spans="1:5" x14ac:dyDescent="0.3">
      <c r="A8" s="21" t="str">
        <f>GO_Saldo_Detaljno!A8</f>
        <v>Ivana Rosić</v>
      </c>
      <c r="B8" s="26">
        <f>GO_Saldo_Detaljno!D8</f>
        <v>7</v>
      </c>
      <c r="C8" s="26">
        <f ca="1">IFERROR(GO_Saldo_Detaljno!I8+ GO_Saldo_Detaljno!J8,"")</f>
        <v>0</v>
      </c>
      <c r="D8" s="26">
        <f ca="1">GO_Saldo_Detaljno!L8</f>
        <v>27</v>
      </c>
      <c r="E8" s="21" t="str">
        <f ca="1">IFERROR("Isk:"&amp;TEXT(GO_Saldo_Detaljno!I8,"0.##")&amp;" | Plan:"&amp;TEXT(GO_Saldo_Detaljno!J8,"0.##"),"")</f>
        <v>Isk:0 | Plan:0</v>
      </c>
    </row>
    <row r="9" spans="1:5" x14ac:dyDescent="0.3">
      <c r="A9" s="21" t="str">
        <f>GO_Saldo_Detaljno!A9</f>
        <v>Luka Kostov Drndarski</v>
      </c>
      <c r="B9" s="26">
        <f>GO_Saldo_Detaljno!D9</f>
        <v>10</v>
      </c>
      <c r="C9" s="26">
        <f ca="1">IFERROR(GO_Saldo_Detaljno!I9+ GO_Saldo_Detaljno!J9,"")</f>
        <v>0</v>
      </c>
      <c r="D9" s="26">
        <f ca="1">GO_Saldo_Detaljno!L9</f>
        <v>30</v>
      </c>
      <c r="E9" s="21" t="str">
        <f ca="1">IFERROR("Isk:"&amp;TEXT(GO_Saldo_Detaljno!I9,"0.##")&amp;" | Plan:"&amp;TEXT(GO_Saldo_Detaljno!J9,"0.##"),"")</f>
        <v>Isk:0 | Plan:0</v>
      </c>
    </row>
    <row r="10" spans="1:5" x14ac:dyDescent="0.3">
      <c r="A10" s="21" t="str">
        <f>GO_Saldo_Detaljno!A10</f>
        <v>Luka Pandurov</v>
      </c>
      <c r="B10" s="26">
        <f>GO_Saldo_Detaljno!D10</f>
        <v>15</v>
      </c>
      <c r="C10" s="26">
        <f ca="1">IFERROR(GO_Saldo_Detaljno!I10+ GO_Saldo_Detaljno!J10,"")</f>
        <v>5</v>
      </c>
      <c r="D10" s="26">
        <f ca="1">GO_Saldo_Detaljno!L10</f>
        <v>25</v>
      </c>
      <c r="E10" s="21" t="str">
        <f ca="1">IFERROR("Isk:"&amp;TEXT(GO_Saldo_Detaljno!I10,"0.##")&amp;" | Plan:"&amp;TEXT(GO_Saldo_Detaljno!J10,"0.##"),"")</f>
        <v>Isk:05 | Plan:0</v>
      </c>
    </row>
    <row r="11" spans="1:5" x14ac:dyDescent="0.3">
      <c r="A11" s="21" t="str">
        <f>GO_Saldo_Detaljno!A11</f>
        <v>Maja Petrović</v>
      </c>
      <c r="B11" s="26">
        <f>GO_Saldo_Detaljno!D11</f>
        <v>16</v>
      </c>
      <c r="C11" s="26">
        <f ca="1">IFERROR(GO_Saldo_Detaljno!I11+ GO_Saldo_Detaljno!J11,"")</f>
        <v>0</v>
      </c>
      <c r="D11" s="26">
        <f ca="1">GO_Saldo_Detaljno!L11</f>
        <v>36</v>
      </c>
      <c r="E11" s="21" t="str">
        <f ca="1">IFERROR("Isk:"&amp;TEXT(GO_Saldo_Detaljno!I11,"0.##")&amp;" | Plan:"&amp;TEXT(GO_Saldo_Detaljno!J11,"0.##"),"")</f>
        <v>Isk:0 | Plan:0</v>
      </c>
    </row>
    <row r="12" spans="1:5" x14ac:dyDescent="0.3">
      <c r="A12" s="21" t="str">
        <f>GO_Saldo_Detaljno!A12</f>
        <v>Mihailo Savić</v>
      </c>
      <c r="B12" s="26">
        <f>GO_Saldo_Detaljno!D12</f>
        <v>10</v>
      </c>
      <c r="C12" s="26">
        <f ca="1">IFERROR(GO_Saldo_Detaljno!I12+ GO_Saldo_Detaljno!J12,"")</f>
        <v>0</v>
      </c>
      <c r="D12" s="26">
        <f ca="1">GO_Saldo_Detaljno!L12</f>
        <v>30</v>
      </c>
      <c r="E12" s="21" t="str">
        <f ca="1">IFERROR("Isk:"&amp;TEXT(GO_Saldo_Detaljno!I12,"0.##")&amp;" | Plan:"&amp;TEXT(GO_Saldo_Detaljno!J12,"0.##"),"")</f>
        <v>Isk:0 | Plan:0</v>
      </c>
    </row>
    <row r="13" spans="1:5" x14ac:dyDescent="0.3">
      <c r="A13" s="21" t="str">
        <f>GO_Saldo_Detaljno!A13</f>
        <v>Milica Milisavljević</v>
      </c>
      <c r="B13" s="26">
        <f>GO_Saldo_Detaljno!D13</f>
        <v>18</v>
      </c>
      <c r="C13" s="26">
        <f ca="1">IFERROR(GO_Saldo_Detaljno!I13+ GO_Saldo_Detaljno!J13,"")</f>
        <v>0</v>
      </c>
      <c r="D13" s="26">
        <f ca="1">GO_Saldo_Detaljno!L13</f>
        <v>38</v>
      </c>
      <c r="E13" s="21" t="str">
        <f ca="1">IFERROR("Isk:"&amp;TEXT(GO_Saldo_Detaljno!I13,"0.##")&amp;" | Plan:"&amp;TEXT(GO_Saldo_Detaljno!J13,"0.##"),"")</f>
        <v>Isk:0 | Plan:0</v>
      </c>
    </row>
    <row r="14" spans="1:5" x14ac:dyDescent="0.3">
      <c r="A14" s="21" t="str">
        <f>GO_Saldo_Detaljno!A14</f>
        <v>Mina Simonović</v>
      </c>
      <c r="B14" s="26">
        <f>GO_Saldo_Detaljno!D14</f>
        <v>5</v>
      </c>
      <c r="C14" s="26">
        <f ca="1">IFERROR(GO_Saldo_Detaljno!I14+ GO_Saldo_Detaljno!J14,"")</f>
        <v>0</v>
      </c>
      <c r="D14" s="26">
        <f ca="1">GO_Saldo_Detaljno!L14</f>
        <v>25</v>
      </c>
      <c r="E14" s="21" t="str">
        <f ca="1">IFERROR("Isk:"&amp;TEXT(GO_Saldo_Detaljno!I14,"0.##")&amp;" | Plan:"&amp;TEXT(GO_Saldo_Detaljno!J14,"0.##"),"")</f>
        <v>Isk:0 | Plan:0</v>
      </c>
    </row>
    <row r="15" spans="1:5" x14ac:dyDescent="0.3">
      <c r="A15" s="21" t="str">
        <f>GO_Saldo_Detaljno!A15</f>
        <v>Nikola Lazarević</v>
      </c>
      <c r="B15" s="26">
        <f>GO_Saldo_Detaljno!D15</f>
        <v>13</v>
      </c>
      <c r="C15" s="26">
        <f ca="1">IFERROR(GO_Saldo_Detaljno!I15+ GO_Saldo_Detaljno!J15,"")</f>
        <v>0</v>
      </c>
      <c r="D15" s="26">
        <f ca="1">GO_Saldo_Detaljno!L15</f>
        <v>33</v>
      </c>
      <c r="E15" s="21" t="str">
        <f ca="1">IFERROR("Isk:"&amp;TEXT(GO_Saldo_Detaljno!I15,"0.##")&amp;" | Plan:"&amp;TEXT(GO_Saldo_Detaljno!J15,"0.##"),"")</f>
        <v>Isk:0 | Plan:0</v>
      </c>
    </row>
    <row r="16" spans="1:5" x14ac:dyDescent="0.3">
      <c r="A16" s="21" t="str">
        <f>GO_Saldo_Detaljno!A16</f>
        <v>Olga Jovanović</v>
      </c>
      <c r="B16" s="26">
        <f>GO_Saldo_Detaljno!D16</f>
        <v>4</v>
      </c>
      <c r="C16" s="26">
        <f ca="1">IFERROR(GO_Saldo_Detaljno!I16+ GO_Saldo_Detaljno!J16,"")</f>
        <v>0</v>
      </c>
      <c r="D16" s="26">
        <f ca="1">GO_Saldo_Detaljno!L16</f>
        <v>24</v>
      </c>
      <c r="E16" s="21" t="str">
        <f ca="1">IFERROR("Isk:"&amp;TEXT(GO_Saldo_Detaljno!I16,"0.##")&amp;" | Plan:"&amp;TEXT(GO_Saldo_Detaljno!J16,"0.##"),"")</f>
        <v>Isk:0 | Plan:0</v>
      </c>
    </row>
    <row r="17" spans="1:5" x14ac:dyDescent="0.3">
      <c r="A17" s="21" t="str">
        <f>GO_Saldo_Detaljno!A17</f>
        <v>Ružica Pantović</v>
      </c>
      <c r="B17" s="26">
        <f>GO_Saldo_Detaljno!D17</f>
        <v>16</v>
      </c>
      <c r="C17" s="26">
        <f ca="1">IFERROR(GO_Saldo_Detaljno!I17+ GO_Saldo_Detaljno!J17,"")</f>
        <v>0</v>
      </c>
      <c r="D17" s="26">
        <f ca="1">GO_Saldo_Detaljno!L17</f>
        <v>36</v>
      </c>
      <c r="E17" s="21" t="str">
        <f ca="1">IFERROR("Isk:"&amp;TEXT(GO_Saldo_Detaljno!I17,"0.##")&amp;" | Plan:"&amp;TEXT(GO_Saldo_Detaljno!J17,"0.##"),"")</f>
        <v>Isk:0 | Plan:0</v>
      </c>
    </row>
    <row r="18" spans="1:5" x14ac:dyDescent="0.3">
      <c r="A18" s="21" t="str">
        <f>GO_Saldo_Detaljno!A18</f>
        <v>Slavko Marjanović</v>
      </c>
      <c r="B18" s="26">
        <f>GO_Saldo_Detaljno!D18</f>
        <v>16</v>
      </c>
      <c r="C18" s="26">
        <f ca="1">IFERROR(GO_Saldo_Detaljno!I18+ GO_Saldo_Detaljno!J18,"")</f>
        <v>4</v>
      </c>
      <c r="D18" s="26">
        <f ca="1">GO_Saldo_Detaljno!L18</f>
        <v>28</v>
      </c>
      <c r="E18" s="21" t="str">
        <f ca="1">IFERROR("Isk:"&amp;TEXT(GO_Saldo_Detaljno!I18,"0.##")&amp;" | Plan:"&amp;TEXT(GO_Saldo_Detaljno!J18,"0.##"),"")</f>
        <v>Isk:04 | Plan:0</v>
      </c>
    </row>
    <row r="19" spans="1:5" x14ac:dyDescent="0.3">
      <c r="A19" s="21" t="str">
        <f>GO_Saldo_Detaljno!A19</f>
        <v>Stefan Josimov</v>
      </c>
      <c r="B19" s="26">
        <f>GO_Saldo_Detaljno!D19</f>
        <v>13</v>
      </c>
      <c r="C19" s="26">
        <f ca="1">IFERROR(GO_Saldo_Detaljno!I19+ GO_Saldo_Detaljno!J19,"")</f>
        <v>0</v>
      </c>
      <c r="D19" s="26">
        <f ca="1">GO_Saldo_Detaljno!L19</f>
        <v>33</v>
      </c>
      <c r="E19" s="21" t="str">
        <f ca="1">IFERROR("Isk:"&amp;TEXT(GO_Saldo_Detaljno!I19,"0.##")&amp;" | Plan:"&amp;TEXT(GO_Saldo_Detaljno!J19,"0.##"),"")</f>
        <v>Isk:0 | Plan:0</v>
      </c>
    </row>
    <row r="20" spans="1:5" x14ac:dyDescent="0.3">
      <c r="A20" s="21" t="str">
        <f>GO_Saldo_Detaljno!A20</f>
        <v>Stevo Ljubičić</v>
      </c>
      <c r="B20" s="26">
        <f>GO_Saldo_Detaljno!D20</f>
        <v>6</v>
      </c>
      <c r="C20" s="26">
        <f ca="1">IFERROR(GO_Saldo_Detaljno!I20+ GO_Saldo_Detaljno!J20,"")</f>
        <v>6</v>
      </c>
      <c r="D20" s="26">
        <f ca="1">GO_Saldo_Detaljno!L20</f>
        <v>14</v>
      </c>
      <c r="E20" s="21" t="str">
        <f ca="1">IFERROR("Isk:"&amp;TEXT(GO_Saldo_Detaljno!I20,"0.##")&amp;" | Plan:"&amp;TEXT(GO_Saldo_Detaljno!J20,"0.##"),"")</f>
        <v>Isk:02 | Plan:04</v>
      </c>
    </row>
    <row r="21" spans="1:5" x14ac:dyDescent="0.3">
      <c r="A21" s="21">
        <f>GO_Saldo_Detaljno!B21</f>
        <v>14</v>
      </c>
      <c r="B21" s="22">
        <f>GO_Saldo_Detaljno!D21</f>
        <v>14</v>
      </c>
      <c r="C21" s="22">
        <f ca="1">IFERROR(GO_Saldo_Detaljno!I21+ GO_Saldo_Detaljno!J21,"")</f>
        <v>2</v>
      </c>
      <c r="D21" s="22">
        <f ca="1">GO_Saldo_Detaljno!L21</f>
        <v>30</v>
      </c>
      <c r="E21" s="21" t="str">
        <f ca="1">IFERROR("Isk:"&amp;TEXT(GO_Saldo_Detaljno!I21,"0.##")&amp;" | Plan:"&amp;TEXT(GO_Saldo_Detaljno!J21,"0.##"),"")</f>
        <v>Isk:02 | Plan:0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6"/>
  <sheetViews>
    <sheetView workbookViewId="0">
      <pane ySplit="4" topLeftCell="A5" activePane="bottomLeft" state="frozen"/>
      <selection pane="bottomLeft" activeCell="C5" sqref="C5"/>
    </sheetView>
  </sheetViews>
  <sheetFormatPr defaultRowHeight="14.4" x14ac:dyDescent="0.3"/>
  <cols>
    <col min="1" max="1" width="30" customWidth="1"/>
    <col min="2" max="12" width="20" customWidth="1"/>
  </cols>
  <sheetData>
    <row r="1" spans="1:12" x14ac:dyDescent="0.3">
      <c r="A1" s="13" t="s">
        <v>172</v>
      </c>
      <c r="B1" s="14">
        <v>2026</v>
      </c>
      <c r="D1" s="13" t="s">
        <v>173</v>
      </c>
      <c r="E1" s="18">
        <f>DATE($B$1,MONTH(Pravila!$B$3),DAY(Pravila!$B$3))</f>
        <v>46203</v>
      </c>
    </row>
    <row r="2" spans="1:12" x14ac:dyDescent="0.3">
      <c r="A2" s="13" t="s">
        <v>174</v>
      </c>
      <c r="B2" s="14">
        <f ca="1">TODAY()</f>
        <v>46140</v>
      </c>
      <c r="D2" s="13" t="s">
        <v>175</v>
      </c>
      <c r="E2" s="14">
        <f>Pravila!$B$2</f>
        <v>20</v>
      </c>
    </row>
    <row r="4" spans="1:12" ht="44.1" customHeight="1" x14ac:dyDescent="0.3">
      <c r="A4" s="9" t="s">
        <v>119</v>
      </c>
      <c r="B4" s="9" t="s">
        <v>176</v>
      </c>
      <c r="C4" s="9" t="s">
        <v>177</v>
      </c>
      <c r="D4" s="9" t="s">
        <v>178</v>
      </c>
      <c r="E4" s="9" t="s">
        <v>179</v>
      </c>
      <c r="F4" s="9" t="s">
        <v>180</v>
      </c>
      <c r="G4" s="9" t="s">
        <v>181</v>
      </c>
      <c r="H4" s="9" t="s">
        <v>182</v>
      </c>
      <c r="I4" s="9" t="s">
        <v>183</v>
      </c>
      <c r="J4" s="9" t="s">
        <v>184</v>
      </c>
      <c r="K4" s="9" t="s">
        <v>185</v>
      </c>
      <c r="L4" s="9" t="s">
        <v>186</v>
      </c>
    </row>
    <row r="5" spans="1:12" x14ac:dyDescent="0.3">
      <c r="A5" s="10" t="str" cm="1">
        <f t="array" ref="A5:A21">_xlfn.ANCHORARRAY(Zaposleni!I2)</f>
        <v>Aleksandar Janković</v>
      </c>
      <c r="B5" s="10">
        <f>IF($A5="","", _xlfn.XLOOKUP($A5, Zaposleni!$B$2:$B$200, Zaposleni!$G$2:$G$200, ""))</f>
        <v>2</v>
      </c>
      <c r="C5" s="10">
        <f>IF($A5="","", _xlfn.XLOOKUP($A5, Zaposleni!$B$2:$B$200, Zaposleni!$H$2:$H$200, ""))</f>
        <v>20</v>
      </c>
      <c r="D5" s="10">
        <f t="shared" ref="D5:D21" si="0">MIN(B5,$E$2)</f>
        <v>2</v>
      </c>
      <c r="E5" s="10">
        <f>SUMIFS(Odsustva!$F$2:$F$500,Odsustva!$B$2:$B$500,$A5,Odsustva!$G$2:$G$500,$B$1,Odsustva!$E$2:$E$500,"&lt;="&amp;$E$1,Odsustva!$K$2:$K$500,"DA",Odsustva!$J$2:$J$500,"Odobreno")+SUMIFS(Odsustva!$F$2:$F$500,Odsustva!$B$2:$B$500,$A5,Odsustva!$G$2:$G$500,$B$1,Odsustva!$E$2:$E$500,"&lt;="&amp;$E$1,Odsustva!$K$2:$K$500,"DA",Odsustva!$J$2:$J$500,"Evidentirano")</f>
        <v>0</v>
      </c>
      <c r="F5" s="10">
        <f t="shared" ref="F5:F21" si="1">MAX(0,D5-E5)</f>
        <v>2</v>
      </c>
      <c r="G5" s="10">
        <f t="shared" ref="G5:G21" ca="1" si="2">IF($B$2&gt;$E$1,F5,0)</f>
        <v>0</v>
      </c>
      <c r="H5" s="10">
        <f t="shared" ref="H5:H21" ca="1" si="3">C5+IF($B$2&lt;=$E$1,F5,0)</f>
        <v>22</v>
      </c>
      <c r="I5" s="10">
        <f ca="1">SUMIFS(Odsustva!$F$2:$F$500,Odsustva!$B$2:$B$500,$A5,Odsustva!$G$2:$G$500,$B$1,Odsustva!$E$2:$E$500,"&lt;="&amp;$B$2,Odsustva!$K$2:$K$500,"DA",Odsustva!$J$2:$J$500,"Odobreno")+SUMIFS(Odsustva!$F$2:$F$500,Odsustva!$B$2:$B$500,$A5,Odsustva!$G$2:$G$500,$B$1,Odsustva!$E$2:$E$500,"&lt;="&amp;$B$2,Odsustva!$K$2:$K$500,"DA",Odsustva!$J$2:$J$500,"Evidentirano")</f>
        <v>0</v>
      </c>
      <c r="J5" s="10">
        <f ca="1">SUMIFS(Odsustva!$F$2:$F$500,Odsustva!$B$2:$B$500,$A5,Odsustva!$G$2:$G$500,$B$1,Odsustva!$D$2:$D$500,"&gt;"&amp;$B$2,Odsustva!$K$2:$K$500,"DA",Odsustva!$J$2:$J$500,"Planirano")+SUMIFS(Odsustva!$F$2:$F$500,Odsustva!$B$2:$B$500,$A5,Odsustva!$G$2:$G$500,$B$1,Odsustva!$D$2:$D$500,"&gt;"&amp;$B$2,Odsustva!$K$2:$K$500,"DA",Odsustva!$J$2:$J$500,"Odobreno")</f>
        <v>0</v>
      </c>
      <c r="K5" s="10">
        <f t="shared" ref="K5:K21" ca="1" si="4">H5-I5</f>
        <v>22</v>
      </c>
      <c r="L5" s="10">
        <f t="shared" ref="L5:L21" ca="1" si="5">K5-J5</f>
        <v>22</v>
      </c>
    </row>
    <row r="6" spans="1:12" x14ac:dyDescent="0.3">
      <c r="A6" s="10" t="str">
        <v>Dejan Đorić</v>
      </c>
      <c r="B6" s="10">
        <f>IF($A6="","", _xlfn.XLOOKUP($A6, Zaposleni!$B$2:$B$200, Zaposleni!$G$2:$G$200, ""))</f>
        <v>14</v>
      </c>
      <c r="C6" s="10">
        <f>IF($A6="","", _xlfn.XLOOKUP($A6, Zaposleni!$B$2:$B$200, Zaposleni!$H$2:$H$200, ""))</f>
        <v>20</v>
      </c>
      <c r="D6" s="10">
        <f t="shared" si="0"/>
        <v>14</v>
      </c>
      <c r="E6" s="10">
        <f>SUMIFS(Odsustva!$F$2:$F$500,Odsustva!$B$2:$B$500,$A6,Odsustva!$G$2:$G$500,$B$1,Odsustva!$E$2:$E$500,"&lt;="&amp;$E$1,Odsustva!$K$2:$K$500,"DA",Odsustva!$J$2:$J$500,"Odobreno")+SUMIFS(Odsustva!$F$2:$F$500,Odsustva!$B$2:$B$500,$A6,Odsustva!$G$2:$G$500,$B$1,Odsustva!$E$2:$E$500,"&lt;="&amp;$E$1,Odsustva!$K$2:$K$500,"DA",Odsustva!$J$2:$J$500,"Evidentirano")</f>
        <v>0</v>
      </c>
      <c r="F6" s="10">
        <f t="shared" si="1"/>
        <v>14</v>
      </c>
      <c r="G6" s="10">
        <f t="shared" ca="1" si="2"/>
        <v>0</v>
      </c>
      <c r="H6" s="10">
        <f t="shared" ca="1" si="3"/>
        <v>34</v>
      </c>
      <c r="I6" s="10">
        <f ca="1">SUMIFS(Odsustva!$F$2:$F$500,Odsustva!$B$2:$B$500,$A6,Odsustva!$G$2:$G$500,$B$1,Odsustva!$E$2:$E$500,"&lt;="&amp;$B$2,Odsustva!$K$2:$K$500,"DA",Odsustva!$J$2:$J$500,"Odobreno")+SUMIFS(Odsustva!$F$2:$F$500,Odsustva!$B$2:$B$500,$A6,Odsustva!$G$2:$G$500,$B$1,Odsustva!$E$2:$E$500,"&lt;="&amp;$B$2,Odsustva!$K$2:$K$500,"DA",Odsustva!$J$2:$J$500,"Evidentirano")</f>
        <v>0</v>
      </c>
      <c r="J6" s="10">
        <f ca="1">SUMIFS(Odsustva!$F$2:$F$500,Odsustva!$B$2:$B$500,$A6,Odsustva!$G$2:$G$500,$B$1,Odsustva!$D$2:$D$500,"&gt;"&amp;$B$2,Odsustva!$K$2:$K$500,"DA",Odsustva!$J$2:$J$500,"Planirano")+SUMIFS(Odsustva!$F$2:$F$500,Odsustva!$B$2:$B$500,$A6,Odsustva!$G$2:$G$500,$B$1,Odsustva!$D$2:$D$500,"&gt;"&amp;$B$2,Odsustva!$K$2:$K$500,"DA",Odsustva!$J$2:$J$500,"Odobreno")</f>
        <v>0</v>
      </c>
      <c r="K6" s="10">
        <f t="shared" ca="1" si="4"/>
        <v>34</v>
      </c>
      <c r="L6" s="10">
        <f t="shared" ca="1" si="5"/>
        <v>34</v>
      </c>
    </row>
    <row r="7" spans="1:12" x14ac:dyDescent="0.3">
      <c r="A7" s="10" t="str">
        <v>Dragan Babić</v>
      </c>
      <c r="B7" s="10">
        <f>IF($A7="","", _xlfn.XLOOKUP($A7, Zaposleni!$B$2:$B$200, Zaposleni!$G$2:$G$200, ""))</f>
        <v>10</v>
      </c>
      <c r="C7" s="10">
        <f>IF($A7="","", _xlfn.XLOOKUP($A7, Zaposleni!$B$2:$B$200, Zaposleni!$H$2:$H$200, ""))</f>
        <v>20</v>
      </c>
      <c r="D7" s="10">
        <f t="shared" si="0"/>
        <v>10</v>
      </c>
      <c r="E7" s="10">
        <f>SUMIFS(Odsustva!$F$2:$F$500,Odsustva!$B$2:$B$500,$A7,Odsustva!$G$2:$G$500,$B$1,Odsustva!$E$2:$E$500,"&lt;="&amp;$E$1,Odsustva!$K$2:$K$500,"DA",Odsustva!$J$2:$J$500,"Odobreno")+SUMIFS(Odsustva!$F$2:$F$500,Odsustva!$B$2:$B$500,$A7,Odsustva!$G$2:$G$500,$B$1,Odsustva!$E$2:$E$500,"&lt;="&amp;$E$1,Odsustva!$K$2:$K$500,"DA",Odsustva!$J$2:$J$500,"Evidentirano")</f>
        <v>0</v>
      </c>
      <c r="F7" s="10">
        <f t="shared" si="1"/>
        <v>10</v>
      </c>
      <c r="G7" s="10">
        <f t="shared" ca="1" si="2"/>
        <v>0</v>
      </c>
      <c r="H7" s="10">
        <f t="shared" ca="1" si="3"/>
        <v>30</v>
      </c>
      <c r="I7" s="10">
        <f ca="1">SUMIFS(Odsustva!$F$2:$F$500,Odsustva!$B$2:$B$500,$A7,Odsustva!$G$2:$G$500,$B$1,Odsustva!$E$2:$E$500,"&lt;="&amp;$B$2,Odsustva!$K$2:$K$500,"DA",Odsustva!$J$2:$J$500,"Odobreno")+SUMIFS(Odsustva!$F$2:$F$500,Odsustva!$B$2:$B$500,$A7,Odsustva!$G$2:$G$500,$B$1,Odsustva!$E$2:$E$500,"&lt;="&amp;$B$2,Odsustva!$K$2:$K$500,"DA",Odsustva!$J$2:$J$500,"Evidentirano")</f>
        <v>0</v>
      </c>
      <c r="J7" s="10">
        <f ca="1">SUMIFS(Odsustva!$F$2:$F$500,Odsustva!$B$2:$B$500,$A7,Odsustva!$G$2:$G$500,$B$1,Odsustva!$D$2:$D$500,"&gt;"&amp;$B$2,Odsustva!$K$2:$K$500,"DA",Odsustva!$J$2:$J$500,"Planirano")+SUMIFS(Odsustva!$F$2:$F$500,Odsustva!$B$2:$B$500,$A7,Odsustva!$G$2:$G$500,$B$1,Odsustva!$D$2:$D$500,"&gt;"&amp;$B$2,Odsustva!$K$2:$K$500,"DA",Odsustva!$J$2:$J$500,"Odobreno")</f>
        <v>0</v>
      </c>
      <c r="K7" s="10">
        <f t="shared" ca="1" si="4"/>
        <v>30</v>
      </c>
      <c r="L7" s="10">
        <f t="shared" ca="1" si="5"/>
        <v>30</v>
      </c>
    </row>
    <row r="8" spans="1:12" x14ac:dyDescent="0.3">
      <c r="A8" s="10" t="str">
        <v>Ivana Rosić</v>
      </c>
      <c r="B8" s="10">
        <f>IF($A8="","", _xlfn.XLOOKUP($A8, Zaposleni!$B$2:$B$200, Zaposleni!$G$2:$G$200, ""))</f>
        <v>7</v>
      </c>
      <c r="C8" s="10">
        <f>IF($A8="","", _xlfn.XLOOKUP($A8, Zaposleni!$B$2:$B$200, Zaposleni!$H$2:$H$200, ""))</f>
        <v>20</v>
      </c>
      <c r="D8" s="10">
        <f t="shared" si="0"/>
        <v>7</v>
      </c>
      <c r="E8" s="10">
        <f>SUMIFS(Odsustva!$F$2:$F$500,Odsustva!$B$2:$B$500,$A8,Odsustva!$G$2:$G$500,$B$1,Odsustva!$E$2:$E$500,"&lt;="&amp;$E$1,Odsustva!$K$2:$K$500,"DA",Odsustva!$J$2:$J$500,"Odobreno")+SUMIFS(Odsustva!$F$2:$F$500,Odsustva!$B$2:$B$500,$A8,Odsustva!$G$2:$G$500,$B$1,Odsustva!$E$2:$E$500,"&lt;="&amp;$E$1,Odsustva!$K$2:$K$500,"DA",Odsustva!$J$2:$J$500,"Evidentirano")</f>
        <v>0</v>
      </c>
      <c r="F8" s="10">
        <f t="shared" si="1"/>
        <v>7</v>
      </c>
      <c r="G8" s="10">
        <f t="shared" ca="1" si="2"/>
        <v>0</v>
      </c>
      <c r="H8" s="10">
        <f t="shared" ca="1" si="3"/>
        <v>27</v>
      </c>
      <c r="I8" s="10">
        <f ca="1">SUMIFS(Odsustva!$F$2:$F$500,Odsustva!$B$2:$B$500,$A8,Odsustva!$G$2:$G$500,$B$1,Odsustva!$E$2:$E$500,"&lt;="&amp;$B$2,Odsustva!$K$2:$K$500,"DA",Odsustva!$J$2:$J$500,"Odobreno")+SUMIFS(Odsustva!$F$2:$F$500,Odsustva!$B$2:$B$500,$A8,Odsustva!$G$2:$G$500,$B$1,Odsustva!$E$2:$E$500,"&lt;="&amp;$B$2,Odsustva!$K$2:$K$500,"DA",Odsustva!$J$2:$J$500,"Evidentirano")</f>
        <v>0</v>
      </c>
      <c r="J8" s="10">
        <f ca="1">SUMIFS(Odsustva!$F$2:$F$500,Odsustva!$B$2:$B$500,$A8,Odsustva!$G$2:$G$500,$B$1,Odsustva!$D$2:$D$500,"&gt;"&amp;$B$2,Odsustva!$K$2:$K$500,"DA",Odsustva!$J$2:$J$500,"Planirano")+SUMIFS(Odsustva!$F$2:$F$500,Odsustva!$B$2:$B$500,$A8,Odsustva!$G$2:$G$500,$B$1,Odsustva!$D$2:$D$500,"&gt;"&amp;$B$2,Odsustva!$K$2:$K$500,"DA",Odsustva!$J$2:$J$500,"Odobreno")</f>
        <v>0</v>
      </c>
      <c r="K8" s="10">
        <f t="shared" ca="1" si="4"/>
        <v>27</v>
      </c>
      <c r="L8" s="10">
        <f t="shared" ca="1" si="5"/>
        <v>27</v>
      </c>
    </row>
    <row r="9" spans="1:12" x14ac:dyDescent="0.3">
      <c r="A9" s="10" t="str">
        <v>Luka Kostov Drndarski</v>
      </c>
      <c r="B9" s="10">
        <f>IF($A9="","", _xlfn.XLOOKUP($A9, Zaposleni!$B$2:$B$200, Zaposleni!$G$2:$G$200, ""))</f>
        <v>10</v>
      </c>
      <c r="C9" s="10">
        <f>IF($A9="","", _xlfn.XLOOKUP($A9, Zaposleni!$B$2:$B$200, Zaposleni!$H$2:$H$200, ""))</f>
        <v>20</v>
      </c>
      <c r="D9" s="10">
        <f t="shared" si="0"/>
        <v>10</v>
      </c>
      <c r="E9" s="10">
        <f>SUMIFS(Odsustva!$F$2:$F$500,Odsustva!$B$2:$B$500,$A9,Odsustva!$G$2:$G$500,$B$1,Odsustva!$E$2:$E$500,"&lt;="&amp;$E$1,Odsustva!$K$2:$K$500,"DA",Odsustva!$J$2:$J$500,"Odobreno")+SUMIFS(Odsustva!$F$2:$F$500,Odsustva!$B$2:$B$500,$A9,Odsustva!$G$2:$G$500,$B$1,Odsustva!$E$2:$E$500,"&lt;="&amp;$E$1,Odsustva!$K$2:$K$500,"DA",Odsustva!$J$2:$J$500,"Evidentirano")</f>
        <v>0</v>
      </c>
      <c r="F9" s="10">
        <f t="shared" si="1"/>
        <v>10</v>
      </c>
      <c r="G9" s="10">
        <f t="shared" ca="1" si="2"/>
        <v>0</v>
      </c>
      <c r="H9" s="10">
        <f t="shared" ca="1" si="3"/>
        <v>30</v>
      </c>
      <c r="I9" s="10">
        <f ca="1">SUMIFS(Odsustva!$F$2:$F$500,Odsustva!$B$2:$B$500,$A9,Odsustva!$G$2:$G$500,$B$1,Odsustva!$E$2:$E$500,"&lt;="&amp;$B$2,Odsustva!$K$2:$K$500,"DA",Odsustva!$J$2:$J$500,"Odobreno")+SUMIFS(Odsustva!$F$2:$F$500,Odsustva!$B$2:$B$500,$A9,Odsustva!$G$2:$G$500,$B$1,Odsustva!$E$2:$E$500,"&lt;="&amp;$B$2,Odsustva!$K$2:$K$500,"DA",Odsustva!$J$2:$J$500,"Evidentirano")</f>
        <v>0</v>
      </c>
      <c r="J9" s="10">
        <f ca="1">SUMIFS(Odsustva!$F$2:$F$500,Odsustva!$B$2:$B$500,$A9,Odsustva!$G$2:$G$500,$B$1,Odsustva!$D$2:$D$500,"&gt;"&amp;$B$2,Odsustva!$K$2:$K$500,"DA",Odsustva!$J$2:$J$500,"Planirano")+SUMIFS(Odsustva!$F$2:$F$500,Odsustva!$B$2:$B$500,$A9,Odsustva!$G$2:$G$500,$B$1,Odsustva!$D$2:$D$500,"&gt;"&amp;$B$2,Odsustva!$K$2:$K$500,"DA",Odsustva!$J$2:$J$500,"Odobreno")</f>
        <v>0</v>
      </c>
      <c r="K9" s="10">
        <f t="shared" ca="1" si="4"/>
        <v>30</v>
      </c>
      <c r="L9" s="10">
        <f t="shared" ca="1" si="5"/>
        <v>30</v>
      </c>
    </row>
    <row r="10" spans="1:12" x14ac:dyDescent="0.3">
      <c r="A10" s="10" t="str">
        <v>Luka Pandurov</v>
      </c>
      <c r="B10" s="10">
        <f>IF($A10="","", _xlfn.XLOOKUP($A10, Zaposleni!$B$2:$B$200, Zaposleni!$G$2:$G$200, ""))</f>
        <v>15</v>
      </c>
      <c r="C10" s="10">
        <f>IF($A10="","", _xlfn.XLOOKUP($A10, Zaposleni!$B$2:$B$200, Zaposleni!$H$2:$H$200, ""))</f>
        <v>20</v>
      </c>
      <c r="D10" s="10">
        <f t="shared" si="0"/>
        <v>15</v>
      </c>
      <c r="E10" s="10">
        <f>SUMIFS(Odsustva!$F$2:$F$500,Odsustva!$B$2:$B$500,$A10,Odsustva!$G$2:$G$500,$B$1,Odsustva!$E$2:$E$500,"&lt;="&amp;$E$1,Odsustva!$K$2:$K$500,"DA",Odsustva!$J$2:$J$500,"Odobreno")+SUMIFS(Odsustva!$F$2:$F$500,Odsustva!$B$2:$B$500,$A10,Odsustva!$G$2:$G$500,$B$1,Odsustva!$E$2:$E$500,"&lt;="&amp;$E$1,Odsustva!$K$2:$K$500,"DA",Odsustva!$J$2:$J$500,"Evidentirano")</f>
        <v>5</v>
      </c>
      <c r="F10" s="10">
        <f t="shared" si="1"/>
        <v>10</v>
      </c>
      <c r="G10" s="10">
        <f t="shared" ca="1" si="2"/>
        <v>0</v>
      </c>
      <c r="H10" s="10">
        <f t="shared" ca="1" si="3"/>
        <v>30</v>
      </c>
      <c r="I10" s="10">
        <f ca="1">SUMIFS(Odsustva!$F$2:$F$500,Odsustva!$B$2:$B$500,$A10,Odsustva!$G$2:$G$500,$B$1,Odsustva!$E$2:$E$500,"&lt;="&amp;$B$2,Odsustva!$K$2:$K$500,"DA",Odsustva!$J$2:$J$500,"Odobreno")+SUMIFS(Odsustva!$F$2:$F$500,Odsustva!$B$2:$B$500,$A10,Odsustva!$G$2:$G$500,$B$1,Odsustva!$E$2:$E$500,"&lt;="&amp;$B$2,Odsustva!$K$2:$K$500,"DA",Odsustva!$J$2:$J$500,"Evidentirano")</f>
        <v>5</v>
      </c>
      <c r="J10" s="10">
        <f ca="1">SUMIFS(Odsustva!$F$2:$F$500,Odsustva!$B$2:$B$500,$A10,Odsustva!$G$2:$G$500,$B$1,Odsustva!$D$2:$D$500,"&gt;"&amp;$B$2,Odsustva!$K$2:$K$500,"DA",Odsustva!$J$2:$J$500,"Planirano")+SUMIFS(Odsustva!$F$2:$F$500,Odsustva!$B$2:$B$500,$A10,Odsustva!$G$2:$G$500,$B$1,Odsustva!$D$2:$D$500,"&gt;"&amp;$B$2,Odsustva!$K$2:$K$500,"DA",Odsustva!$J$2:$J$500,"Odobreno")</f>
        <v>0</v>
      </c>
      <c r="K10" s="10">
        <f t="shared" ca="1" si="4"/>
        <v>25</v>
      </c>
      <c r="L10" s="10">
        <f t="shared" ca="1" si="5"/>
        <v>25</v>
      </c>
    </row>
    <row r="11" spans="1:12" x14ac:dyDescent="0.3">
      <c r="A11" s="10" t="str">
        <v>Maja Petrović</v>
      </c>
      <c r="B11" s="10">
        <f>IF($A11="","", _xlfn.XLOOKUP($A11, Zaposleni!$B$2:$B$200, Zaposleni!$G$2:$G$200, ""))</f>
        <v>16</v>
      </c>
      <c r="C11" s="10">
        <f>IF($A11="","", _xlfn.XLOOKUP($A11, Zaposleni!$B$2:$B$200, Zaposleni!$H$2:$H$200, ""))</f>
        <v>20</v>
      </c>
      <c r="D11" s="10">
        <f t="shared" si="0"/>
        <v>16</v>
      </c>
      <c r="E11" s="10">
        <f>SUMIFS(Odsustva!$F$2:$F$500,Odsustva!$B$2:$B$500,$A11,Odsustva!$G$2:$G$500,$B$1,Odsustva!$E$2:$E$500,"&lt;="&amp;$E$1,Odsustva!$K$2:$K$500,"DA",Odsustva!$J$2:$J$500,"Odobreno")+SUMIFS(Odsustva!$F$2:$F$500,Odsustva!$B$2:$B$500,$A11,Odsustva!$G$2:$G$500,$B$1,Odsustva!$E$2:$E$500,"&lt;="&amp;$E$1,Odsustva!$K$2:$K$500,"DA",Odsustva!$J$2:$J$500,"Evidentirano")</f>
        <v>0</v>
      </c>
      <c r="F11" s="10">
        <f t="shared" si="1"/>
        <v>16</v>
      </c>
      <c r="G11" s="10">
        <f t="shared" ca="1" si="2"/>
        <v>0</v>
      </c>
      <c r="H11" s="10">
        <f t="shared" ca="1" si="3"/>
        <v>36</v>
      </c>
      <c r="I11" s="10">
        <f ca="1">SUMIFS(Odsustva!$F$2:$F$500,Odsustva!$B$2:$B$500,$A11,Odsustva!$G$2:$G$500,$B$1,Odsustva!$E$2:$E$500,"&lt;="&amp;$B$2,Odsustva!$K$2:$K$500,"DA",Odsustva!$J$2:$J$500,"Odobreno")+SUMIFS(Odsustva!$F$2:$F$500,Odsustva!$B$2:$B$500,$A11,Odsustva!$G$2:$G$500,$B$1,Odsustva!$E$2:$E$500,"&lt;="&amp;$B$2,Odsustva!$K$2:$K$500,"DA",Odsustva!$J$2:$J$500,"Evidentirano")</f>
        <v>0</v>
      </c>
      <c r="J11" s="10">
        <f ca="1">SUMIFS(Odsustva!$F$2:$F$500,Odsustva!$B$2:$B$500,$A11,Odsustva!$G$2:$G$500,$B$1,Odsustva!$D$2:$D$500,"&gt;"&amp;$B$2,Odsustva!$K$2:$K$500,"DA",Odsustva!$J$2:$J$500,"Planirano")+SUMIFS(Odsustva!$F$2:$F$500,Odsustva!$B$2:$B$500,$A11,Odsustva!$G$2:$G$500,$B$1,Odsustva!$D$2:$D$500,"&gt;"&amp;$B$2,Odsustva!$K$2:$K$500,"DA",Odsustva!$J$2:$J$500,"Odobreno")</f>
        <v>0</v>
      </c>
      <c r="K11" s="10">
        <f t="shared" ca="1" si="4"/>
        <v>36</v>
      </c>
      <c r="L11" s="10">
        <f t="shared" ca="1" si="5"/>
        <v>36</v>
      </c>
    </row>
    <row r="12" spans="1:12" x14ac:dyDescent="0.3">
      <c r="A12" s="10" t="str">
        <v>Mihailo Savić</v>
      </c>
      <c r="B12" s="10">
        <f>IF($A12="","", _xlfn.XLOOKUP($A12, Zaposleni!$B$2:$B$200, Zaposleni!$G$2:$G$200, ""))</f>
        <v>10</v>
      </c>
      <c r="C12" s="10">
        <f>IF($A12="","", _xlfn.XLOOKUP($A12, Zaposleni!$B$2:$B$200, Zaposleni!$H$2:$H$200, ""))</f>
        <v>20</v>
      </c>
      <c r="D12" s="10">
        <f t="shared" si="0"/>
        <v>10</v>
      </c>
      <c r="E12" s="10">
        <f>SUMIFS(Odsustva!$F$2:$F$500,Odsustva!$B$2:$B$500,$A12,Odsustva!$G$2:$G$500,$B$1,Odsustva!$E$2:$E$500,"&lt;="&amp;$E$1,Odsustva!$K$2:$K$500,"DA",Odsustva!$J$2:$J$500,"Odobreno")+SUMIFS(Odsustva!$F$2:$F$500,Odsustva!$B$2:$B$500,$A12,Odsustva!$G$2:$G$500,$B$1,Odsustva!$E$2:$E$500,"&lt;="&amp;$E$1,Odsustva!$K$2:$K$500,"DA",Odsustva!$J$2:$J$500,"Evidentirano")</f>
        <v>0</v>
      </c>
      <c r="F12" s="10">
        <f t="shared" si="1"/>
        <v>10</v>
      </c>
      <c r="G12" s="10">
        <f t="shared" ca="1" si="2"/>
        <v>0</v>
      </c>
      <c r="H12" s="10">
        <f t="shared" ca="1" si="3"/>
        <v>30</v>
      </c>
      <c r="I12" s="10">
        <f ca="1">SUMIFS(Odsustva!$F$2:$F$500,Odsustva!$B$2:$B$500,$A12,Odsustva!$G$2:$G$500,$B$1,Odsustva!$E$2:$E$500,"&lt;="&amp;$B$2,Odsustva!$K$2:$K$500,"DA",Odsustva!$J$2:$J$500,"Odobreno")+SUMIFS(Odsustva!$F$2:$F$500,Odsustva!$B$2:$B$500,$A12,Odsustva!$G$2:$G$500,$B$1,Odsustva!$E$2:$E$500,"&lt;="&amp;$B$2,Odsustva!$K$2:$K$500,"DA",Odsustva!$J$2:$J$500,"Evidentirano")</f>
        <v>0</v>
      </c>
      <c r="J12" s="10">
        <f ca="1">SUMIFS(Odsustva!$F$2:$F$500,Odsustva!$B$2:$B$500,$A12,Odsustva!$G$2:$G$500,$B$1,Odsustva!$D$2:$D$500,"&gt;"&amp;$B$2,Odsustva!$K$2:$K$500,"DA",Odsustva!$J$2:$J$500,"Planirano")+SUMIFS(Odsustva!$F$2:$F$500,Odsustva!$B$2:$B$500,$A12,Odsustva!$G$2:$G$500,$B$1,Odsustva!$D$2:$D$500,"&gt;"&amp;$B$2,Odsustva!$K$2:$K$500,"DA",Odsustva!$J$2:$J$500,"Odobreno")</f>
        <v>0</v>
      </c>
      <c r="K12" s="10">
        <f t="shared" ca="1" si="4"/>
        <v>30</v>
      </c>
      <c r="L12" s="10">
        <f t="shared" ca="1" si="5"/>
        <v>30</v>
      </c>
    </row>
    <row r="13" spans="1:12" x14ac:dyDescent="0.3">
      <c r="A13" s="10" t="str">
        <v>Milica Milisavljević</v>
      </c>
      <c r="B13" s="10">
        <f>IF($A13="","", _xlfn.XLOOKUP($A13, Zaposleni!$B$2:$B$200, Zaposleni!$G$2:$G$200, ""))</f>
        <v>18</v>
      </c>
      <c r="C13" s="10">
        <f>IF($A13="","", _xlfn.XLOOKUP($A13, Zaposleni!$B$2:$B$200, Zaposleni!$H$2:$H$200, ""))</f>
        <v>20</v>
      </c>
      <c r="D13" s="10">
        <f t="shared" si="0"/>
        <v>18</v>
      </c>
      <c r="E13" s="10">
        <f>SUMIFS(Odsustva!$F$2:$F$500,Odsustva!$B$2:$B$500,$A13,Odsustva!$G$2:$G$500,$B$1,Odsustva!$E$2:$E$500,"&lt;="&amp;$E$1,Odsustva!$K$2:$K$500,"DA",Odsustva!$J$2:$J$500,"Odobreno")+SUMIFS(Odsustva!$F$2:$F$500,Odsustva!$B$2:$B$500,$A13,Odsustva!$G$2:$G$500,$B$1,Odsustva!$E$2:$E$500,"&lt;="&amp;$E$1,Odsustva!$K$2:$K$500,"DA",Odsustva!$J$2:$J$500,"Evidentirano")</f>
        <v>0</v>
      </c>
      <c r="F13" s="10">
        <f t="shared" si="1"/>
        <v>18</v>
      </c>
      <c r="G13" s="10">
        <f t="shared" ca="1" si="2"/>
        <v>0</v>
      </c>
      <c r="H13" s="10">
        <f t="shared" ca="1" si="3"/>
        <v>38</v>
      </c>
      <c r="I13" s="10">
        <f ca="1">SUMIFS(Odsustva!$F$2:$F$500,Odsustva!$B$2:$B$500,$A13,Odsustva!$G$2:$G$500,$B$1,Odsustva!$E$2:$E$500,"&lt;="&amp;$B$2,Odsustva!$K$2:$K$500,"DA",Odsustva!$J$2:$J$500,"Odobreno")+SUMIFS(Odsustva!$F$2:$F$500,Odsustva!$B$2:$B$500,$A13,Odsustva!$G$2:$G$500,$B$1,Odsustva!$E$2:$E$500,"&lt;="&amp;$B$2,Odsustva!$K$2:$K$500,"DA",Odsustva!$J$2:$J$500,"Evidentirano")</f>
        <v>0</v>
      </c>
      <c r="J13" s="10">
        <f ca="1">SUMIFS(Odsustva!$F$2:$F$500,Odsustva!$B$2:$B$500,$A13,Odsustva!$G$2:$G$500,$B$1,Odsustva!$D$2:$D$500,"&gt;"&amp;$B$2,Odsustva!$K$2:$K$500,"DA",Odsustva!$J$2:$J$500,"Planirano")+SUMIFS(Odsustva!$F$2:$F$500,Odsustva!$B$2:$B$500,$A13,Odsustva!$G$2:$G$500,$B$1,Odsustva!$D$2:$D$500,"&gt;"&amp;$B$2,Odsustva!$K$2:$K$500,"DA",Odsustva!$J$2:$J$500,"Odobreno")</f>
        <v>0</v>
      </c>
      <c r="K13" s="10">
        <f t="shared" ca="1" si="4"/>
        <v>38</v>
      </c>
      <c r="L13" s="10">
        <f t="shared" ca="1" si="5"/>
        <v>38</v>
      </c>
    </row>
    <row r="14" spans="1:12" x14ac:dyDescent="0.3">
      <c r="A14" s="10" t="str">
        <v>Mina Simonović</v>
      </c>
      <c r="B14" s="10">
        <f>IF($A14="","", _xlfn.XLOOKUP($A14, Zaposleni!$B$2:$B$200, Zaposleni!$G$2:$G$200, ""))</f>
        <v>5</v>
      </c>
      <c r="C14" s="10">
        <f>IF($A14="","", _xlfn.XLOOKUP($A14, Zaposleni!$B$2:$B$200, Zaposleni!$H$2:$H$200, ""))</f>
        <v>20</v>
      </c>
      <c r="D14" s="10">
        <f t="shared" si="0"/>
        <v>5</v>
      </c>
      <c r="E14" s="10">
        <f>SUMIFS(Odsustva!$F$2:$F$500,Odsustva!$B$2:$B$500,$A14,Odsustva!$G$2:$G$500,$B$1,Odsustva!$E$2:$E$500,"&lt;="&amp;$E$1,Odsustva!$K$2:$K$500,"DA",Odsustva!$J$2:$J$500,"Odobreno")+SUMIFS(Odsustva!$F$2:$F$500,Odsustva!$B$2:$B$500,$A14,Odsustva!$G$2:$G$500,$B$1,Odsustva!$E$2:$E$500,"&lt;="&amp;$E$1,Odsustva!$K$2:$K$500,"DA",Odsustva!$J$2:$J$500,"Evidentirano")</f>
        <v>0</v>
      </c>
      <c r="F14" s="10">
        <f t="shared" si="1"/>
        <v>5</v>
      </c>
      <c r="G14" s="10">
        <f t="shared" ca="1" si="2"/>
        <v>0</v>
      </c>
      <c r="H14" s="10">
        <f t="shared" ca="1" si="3"/>
        <v>25</v>
      </c>
      <c r="I14" s="10">
        <f ca="1">SUMIFS(Odsustva!$F$2:$F$500,Odsustva!$B$2:$B$500,$A14,Odsustva!$G$2:$G$500,$B$1,Odsustva!$E$2:$E$500,"&lt;="&amp;$B$2,Odsustva!$K$2:$K$500,"DA",Odsustva!$J$2:$J$500,"Odobreno")+SUMIFS(Odsustva!$F$2:$F$500,Odsustva!$B$2:$B$500,$A14,Odsustva!$G$2:$G$500,$B$1,Odsustva!$E$2:$E$500,"&lt;="&amp;$B$2,Odsustva!$K$2:$K$500,"DA",Odsustva!$J$2:$J$500,"Evidentirano")</f>
        <v>0</v>
      </c>
      <c r="J14" s="10">
        <f ca="1">SUMIFS(Odsustva!$F$2:$F$500,Odsustva!$B$2:$B$500,$A14,Odsustva!$G$2:$G$500,$B$1,Odsustva!$D$2:$D$500,"&gt;"&amp;$B$2,Odsustva!$K$2:$K$500,"DA",Odsustva!$J$2:$J$500,"Planirano")+SUMIFS(Odsustva!$F$2:$F$500,Odsustva!$B$2:$B$500,$A14,Odsustva!$G$2:$G$500,$B$1,Odsustva!$D$2:$D$500,"&gt;"&amp;$B$2,Odsustva!$K$2:$K$500,"DA",Odsustva!$J$2:$J$500,"Odobreno")</f>
        <v>0</v>
      </c>
      <c r="K14" s="10">
        <f t="shared" ca="1" si="4"/>
        <v>25</v>
      </c>
      <c r="L14" s="10">
        <f t="shared" ca="1" si="5"/>
        <v>25</v>
      </c>
    </row>
    <row r="15" spans="1:12" x14ac:dyDescent="0.3">
      <c r="A15" s="10" t="str">
        <v>Nikola Lazarević</v>
      </c>
      <c r="B15" s="10">
        <f>IF($A15="","", _xlfn.XLOOKUP($A15, Zaposleni!$B$2:$B$200, Zaposleni!$G$2:$G$200, ""))</f>
        <v>13</v>
      </c>
      <c r="C15" s="10">
        <f>IF($A15="","", _xlfn.XLOOKUP($A15, Zaposleni!$B$2:$B$200, Zaposleni!$H$2:$H$200, ""))</f>
        <v>20</v>
      </c>
      <c r="D15" s="10">
        <f t="shared" si="0"/>
        <v>13</v>
      </c>
      <c r="E15" s="10">
        <f>SUMIFS(Odsustva!$F$2:$F$500,Odsustva!$B$2:$B$500,$A15,Odsustva!$G$2:$G$500,$B$1,Odsustva!$E$2:$E$500,"&lt;="&amp;$E$1,Odsustva!$K$2:$K$500,"DA",Odsustva!$J$2:$J$500,"Odobreno")+SUMIFS(Odsustva!$F$2:$F$500,Odsustva!$B$2:$B$500,$A15,Odsustva!$G$2:$G$500,$B$1,Odsustva!$E$2:$E$500,"&lt;="&amp;$E$1,Odsustva!$K$2:$K$500,"DA",Odsustva!$J$2:$J$500,"Evidentirano")</f>
        <v>0</v>
      </c>
      <c r="F15" s="10">
        <f t="shared" si="1"/>
        <v>13</v>
      </c>
      <c r="G15" s="10">
        <f t="shared" ca="1" si="2"/>
        <v>0</v>
      </c>
      <c r="H15" s="10">
        <f t="shared" ca="1" si="3"/>
        <v>33</v>
      </c>
      <c r="I15" s="10">
        <f ca="1">SUMIFS(Odsustva!$F$2:$F$500,Odsustva!$B$2:$B$500,$A15,Odsustva!$G$2:$G$500,$B$1,Odsustva!$E$2:$E$500,"&lt;="&amp;$B$2,Odsustva!$K$2:$K$500,"DA",Odsustva!$J$2:$J$500,"Odobreno")+SUMIFS(Odsustva!$F$2:$F$500,Odsustva!$B$2:$B$500,$A15,Odsustva!$G$2:$G$500,$B$1,Odsustva!$E$2:$E$500,"&lt;="&amp;$B$2,Odsustva!$K$2:$K$500,"DA",Odsustva!$J$2:$J$500,"Evidentirano")</f>
        <v>0</v>
      </c>
      <c r="J15" s="10">
        <f ca="1">SUMIFS(Odsustva!$F$2:$F$500,Odsustva!$B$2:$B$500,$A15,Odsustva!$G$2:$G$500,$B$1,Odsustva!$D$2:$D$500,"&gt;"&amp;$B$2,Odsustva!$K$2:$K$500,"DA",Odsustva!$J$2:$J$500,"Planirano")+SUMIFS(Odsustva!$F$2:$F$500,Odsustva!$B$2:$B$500,$A15,Odsustva!$G$2:$G$500,$B$1,Odsustva!$D$2:$D$500,"&gt;"&amp;$B$2,Odsustva!$K$2:$K$500,"DA",Odsustva!$J$2:$J$500,"Odobreno")</f>
        <v>0</v>
      </c>
      <c r="K15" s="10">
        <f t="shared" ca="1" si="4"/>
        <v>33</v>
      </c>
      <c r="L15" s="10">
        <f t="shared" ca="1" si="5"/>
        <v>33</v>
      </c>
    </row>
    <row r="16" spans="1:12" x14ac:dyDescent="0.3">
      <c r="A16" s="10" t="str">
        <v>Olga Jovanović</v>
      </c>
      <c r="B16" s="10">
        <f>IF($A16="","", _xlfn.XLOOKUP($A16, Zaposleni!$B$2:$B$200, Zaposleni!$G$2:$G$200, ""))</f>
        <v>4</v>
      </c>
      <c r="C16" s="10">
        <f>IF($A16="","", _xlfn.XLOOKUP($A16, Zaposleni!$B$2:$B$200, Zaposleni!$H$2:$H$200, ""))</f>
        <v>20</v>
      </c>
      <c r="D16" s="10">
        <f t="shared" si="0"/>
        <v>4</v>
      </c>
      <c r="E16" s="10">
        <f>SUMIFS(Odsustva!$F$2:$F$500,Odsustva!$B$2:$B$500,$A16,Odsustva!$G$2:$G$500,$B$1,Odsustva!$E$2:$E$500,"&lt;="&amp;$E$1,Odsustva!$K$2:$K$500,"DA",Odsustva!$J$2:$J$500,"Odobreno")+SUMIFS(Odsustva!$F$2:$F$500,Odsustva!$B$2:$B$500,$A16,Odsustva!$G$2:$G$500,$B$1,Odsustva!$E$2:$E$500,"&lt;="&amp;$E$1,Odsustva!$K$2:$K$500,"DA",Odsustva!$J$2:$J$500,"Evidentirano")</f>
        <v>0</v>
      </c>
      <c r="F16" s="10">
        <f t="shared" si="1"/>
        <v>4</v>
      </c>
      <c r="G16" s="10">
        <f t="shared" ca="1" si="2"/>
        <v>0</v>
      </c>
      <c r="H16" s="10">
        <f t="shared" ca="1" si="3"/>
        <v>24</v>
      </c>
      <c r="I16" s="10">
        <f ca="1">SUMIFS(Odsustva!$F$2:$F$500,Odsustva!$B$2:$B$500,$A16,Odsustva!$G$2:$G$500,$B$1,Odsustva!$E$2:$E$500,"&lt;="&amp;$B$2,Odsustva!$K$2:$K$500,"DA",Odsustva!$J$2:$J$500,"Odobreno")+SUMIFS(Odsustva!$F$2:$F$500,Odsustva!$B$2:$B$500,$A16,Odsustva!$G$2:$G$500,$B$1,Odsustva!$E$2:$E$500,"&lt;="&amp;$B$2,Odsustva!$K$2:$K$500,"DA",Odsustva!$J$2:$J$500,"Evidentirano")</f>
        <v>0</v>
      </c>
      <c r="J16" s="10">
        <f ca="1">SUMIFS(Odsustva!$F$2:$F$500,Odsustva!$B$2:$B$500,$A16,Odsustva!$G$2:$G$500,$B$1,Odsustva!$D$2:$D$500,"&gt;"&amp;$B$2,Odsustva!$K$2:$K$500,"DA",Odsustva!$J$2:$J$500,"Planirano")+SUMIFS(Odsustva!$F$2:$F$500,Odsustva!$B$2:$B$500,$A16,Odsustva!$G$2:$G$500,$B$1,Odsustva!$D$2:$D$500,"&gt;"&amp;$B$2,Odsustva!$K$2:$K$500,"DA",Odsustva!$J$2:$J$500,"Odobreno")</f>
        <v>0</v>
      </c>
      <c r="K16" s="10">
        <f t="shared" ca="1" si="4"/>
        <v>24</v>
      </c>
      <c r="L16" s="10">
        <f t="shared" ca="1" si="5"/>
        <v>24</v>
      </c>
    </row>
    <row r="17" spans="1:12" x14ac:dyDescent="0.3">
      <c r="A17" s="10" t="str">
        <v>Ružica Pantović</v>
      </c>
      <c r="B17" s="10">
        <f>IF($A17="","", _xlfn.XLOOKUP($A17, Zaposleni!$B$2:$B$200, Zaposleni!$G$2:$G$200, ""))</f>
        <v>16</v>
      </c>
      <c r="C17" s="10">
        <f>IF($A17="","", _xlfn.XLOOKUP($A17, Zaposleni!$B$2:$B$200, Zaposleni!$H$2:$H$200, ""))</f>
        <v>20</v>
      </c>
      <c r="D17" s="10">
        <f t="shared" si="0"/>
        <v>16</v>
      </c>
      <c r="E17" s="10">
        <f>SUMIFS(Odsustva!$F$2:$F$500,Odsustva!$B$2:$B$500,$A17,Odsustva!$G$2:$G$500,$B$1,Odsustva!$E$2:$E$500,"&lt;="&amp;$E$1,Odsustva!$K$2:$K$500,"DA",Odsustva!$J$2:$J$500,"Odobreno")+SUMIFS(Odsustva!$F$2:$F$500,Odsustva!$B$2:$B$500,$A17,Odsustva!$G$2:$G$500,$B$1,Odsustva!$E$2:$E$500,"&lt;="&amp;$E$1,Odsustva!$K$2:$K$500,"DA",Odsustva!$J$2:$J$500,"Evidentirano")</f>
        <v>0</v>
      </c>
      <c r="F17" s="10">
        <f t="shared" si="1"/>
        <v>16</v>
      </c>
      <c r="G17" s="10">
        <f t="shared" ca="1" si="2"/>
        <v>0</v>
      </c>
      <c r="H17" s="10">
        <f t="shared" ca="1" si="3"/>
        <v>36</v>
      </c>
      <c r="I17" s="10">
        <f ca="1">SUMIFS(Odsustva!$F$2:$F$500,Odsustva!$B$2:$B$500,$A17,Odsustva!$G$2:$G$500,$B$1,Odsustva!$E$2:$E$500,"&lt;="&amp;$B$2,Odsustva!$K$2:$K$500,"DA",Odsustva!$J$2:$J$500,"Odobreno")+SUMIFS(Odsustva!$F$2:$F$500,Odsustva!$B$2:$B$500,$A17,Odsustva!$G$2:$G$500,$B$1,Odsustva!$E$2:$E$500,"&lt;="&amp;$B$2,Odsustva!$K$2:$K$500,"DA",Odsustva!$J$2:$J$500,"Evidentirano")</f>
        <v>0</v>
      </c>
      <c r="J17" s="10">
        <f ca="1">SUMIFS(Odsustva!$F$2:$F$500,Odsustva!$B$2:$B$500,$A17,Odsustva!$G$2:$G$500,$B$1,Odsustva!$D$2:$D$500,"&gt;"&amp;$B$2,Odsustva!$K$2:$K$500,"DA",Odsustva!$J$2:$J$500,"Planirano")+SUMIFS(Odsustva!$F$2:$F$500,Odsustva!$B$2:$B$500,$A17,Odsustva!$G$2:$G$500,$B$1,Odsustva!$D$2:$D$500,"&gt;"&amp;$B$2,Odsustva!$K$2:$K$500,"DA",Odsustva!$J$2:$J$500,"Odobreno")</f>
        <v>0</v>
      </c>
      <c r="K17" s="10">
        <f t="shared" ca="1" si="4"/>
        <v>36</v>
      </c>
      <c r="L17" s="10">
        <f t="shared" ca="1" si="5"/>
        <v>36</v>
      </c>
    </row>
    <row r="18" spans="1:12" x14ac:dyDescent="0.3">
      <c r="A18" s="10" t="str">
        <v>Slavko Marjanović</v>
      </c>
      <c r="B18" s="10">
        <f>IF($A18="","", _xlfn.XLOOKUP($A18, Zaposleni!$B$2:$B$200, Zaposleni!$G$2:$G$200, ""))</f>
        <v>16</v>
      </c>
      <c r="C18" s="10">
        <f>IF($A18="","", _xlfn.XLOOKUP($A18, Zaposleni!$B$2:$B$200, Zaposleni!$H$2:$H$200, ""))</f>
        <v>20</v>
      </c>
      <c r="D18" s="10">
        <f t="shared" si="0"/>
        <v>16</v>
      </c>
      <c r="E18" s="10">
        <f>SUMIFS(Odsustva!$F$2:$F$500,Odsustva!$B$2:$B$500,$A18,Odsustva!$G$2:$G$500,$B$1,Odsustva!$E$2:$E$500,"&lt;="&amp;$E$1,Odsustva!$K$2:$K$500,"DA",Odsustva!$J$2:$J$500,"Odobreno")+SUMIFS(Odsustva!$F$2:$F$500,Odsustva!$B$2:$B$500,$A18,Odsustva!$G$2:$G$500,$B$1,Odsustva!$E$2:$E$500,"&lt;="&amp;$E$1,Odsustva!$K$2:$K$500,"DA",Odsustva!$J$2:$J$500,"Evidentirano")</f>
        <v>4</v>
      </c>
      <c r="F18" s="10">
        <f t="shared" si="1"/>
        <v>12</v>
      </c>
      <c r="G18" s="10">
        <f t="shared" ca="1" si="2"/>
        <v>0</v>
      </c>
      <c r="H18" s="10">
        <f t="shared" ca="1" si="3"/>
        <v>32</v>
      </c>
      <c r="I18" s="10">
        <f ca="1">SUMIFS(Odsustva!$F$2:$F$500,Odsustva!$B$2:$B$500,$A18,Odsustva!$G$2:$G$500,$B$1,Odsustva!$E$2:$E$500,"&lt;="&amp;$B$2,Odsustva!$K$2:$K$500,"DA",Odsustva!$J$2:$J$500,"Odobreno")+SUMIFS(Odsustva!$F$2:$F$500,Odsustva!$B$2:$B$500,$A18,Odsustva!$G$2:$G$500,$B$1,Odsustva!$E$2:$E$500,"&lt;="&amp;$B$2,Odsustva!$K$2:$K$500,"DA",Odsustva!$J$2:$J$500,"Evidentirano")</f>
        <v>4</v>
      </c>
      <c r="J18" s="10">
        <f ca="1">SUMIFS(Odsustva!$F$2:$F$500,Odsustva!$B$2:$B$500,$A18,Odsustva!$G$2:$G$500,$B$1,Odsustva!$D$2:$D$500,"&gt;"&amp;$B$2,Odsustva!$K$2:$K$500,"DA",Odsustva!$J$2:$J$500,"Planirano")+SUMIFS(Odsustva!$F$2:$F$500,Odsustva!$B$2:$B$500,$A18,Odsustva!$G$2:$G$500,$B$1,Odsustva!$D$2:$D$500,"&gt;"&amp;$B$2,Odsustva!$K$2:$K$500,"DA",Odsustva!$J$2:$J$500,"Odobreno")</f>
        <v>0</v>
      </c>
      <c r="K18" s="10">
        <f t="shared" ca="1" si="4"/>
        <v>28</v>
      </c>
      <c r="L18" s="10">
        <f t="shared" ca="1" si="5"/>
        <v>28</v>
      </c>
    </row>
    <row r="19" spans="1:12" x14ac:dyDescent="0.3">
      <c r="A19" s="10" t="str">
        <v>Stefan Josimov</v>
      </c>
      <c r="B19" s="10">
        <f>IF($A19="","", _xlfn.XLOOKUP($A19, Zaposleni!$B$2:$B$200, Zaposleni!$G$2:$G$200, ""))</f>
        <v>13</v>
      </c>
      <c r="C19" s="10">
        <f>IF($A19="","", _xlfn.XLOOKUP($A19, Zaposleni!$B$2:$B$200, Zaposleni!$H$2:$H$200, ""))</f>
        <v>20</v>
      </c>
      <c r="D19" s="10">
        <f t="shared" si="0"/>
        <v>13</v>
      </c>
      <c r="E19" s="10">
        <f>SUMIFS(Odsustva!$F$2:$F$500,Odsustva!$B$2:$B$500,$A19,Odsustva!$G$2:$G$500,$B$1,Odsustva!$E$2:$E$500,"&lt;="&amp;$E$1,Odsustva!$K$2:$K$500,"DA",Odsustva!$J$2:$J$500,"Odobreno")+SUMIFS(Odsustva!$F$2:$F$500,Odsustva!$B$2:$B$500,$A19,Odsustva!$G$2:$G$500,$B$1,Odsustva!$E$2:$E$500,"&lt;="&amp;$E$1,Odsustva!$K$2:$K$500,"DA",Odsustva!$J$2:$J$500,"Evidentirano")</f>
        <v>0</v>
      </c>
      <c r="F19" s="10">
        <f t="shared" si="1"/>
        <v>13</v>
      </c>
      <c r="G19" s="10">
        <f t="shared" ca="1" si="2"/>
        <v>0</v>
      </c>
      <c r="H19" s="10">
        <f t="shared" ca="1" si="3"/>
        <v>33</v>
      </c>
      <c r="I19" s="10">
        <f ca="1">SUMIFS(Odsustva!$F$2:$F$500,Odsustva!$B$2:$B$500,$A19,Odsustva!$G$2:$G$500,$B$1,Odsustva!$E$2:$E$500,"&lt;="&amp;$B$2,Odsustva!$K$2:$K$500,"DA",Odsustva!$J$2:$J$500,"Odobreno")+SUMIFS(Odsustva!$F$2:$F$500,Odsustva!$B$2:$B$500,$A19,Odsustva!$G$2:$G$500,$B$1,Odsustva!$E$2:$E$500,"&lt;="&amp;$B$2,Odsustva!$K$2:$K$500,"DA",Odsustva!$J$2:$J$500,"Evidentirano")</f>
        <v>0</v>
      </c>
      <c r="J19" s="10">
        <f ca="1">SUMIFS(Odsustva!$F$2:$F$500,Odsustva!$B$2:$B$500,$A19,Odsustva!$G$2:$G$500,$B$1,Odsustva!$D$2:$D$500,"&gt;"&amp;$B$2,Odsustva!$K$2:$K$500,"DA",Odsustva!$J$2:$J$500,"Planirano")+SUMIFS(Odsustva!$F$2:$F$500,Odsustva!$B$2:$B$500,$A19,Odsustva!$G$2:$G$500,$B$1,Odsustva!$D$2:$D$500,"&gt;"&amp;$B$2,Odsustva!$K$2:$K$500,"DA",Odsustva!$J$2:$J$500,"Odobreno")</f>
        <v>0</v>
      </c>
      <c r="K19" s="10">
        <f t="shared" ca="1" si="4"/>
        <v>33</v>
      </c>
      <c r="L19" s="10">
        <f t="shared" ca="1" si="5"/>
        <v>33</v>
      </c>
    </row>
    <row r="20" spans="1:12" x14ac:dyDescent="0.3">
      <c r="A20" s="10" t="str">
        <v>Stevo Ljubičić</v>
      </c>
      <c r="B20" s="10">
        <f>IF($A20="","", _xlfn.XLOOKUP($A20, Zaposleni!$B$2:$B$200, Zaposleni!$G$2:$G$200, ""))</f>
        <v>6</v>
      </c>
      <c r="C20" s="10">
        <f>IF($A20="","", _xlfn.XLOOKUP($A20, Zaposleni!$B$2:$B$200, Zaposleni!$H$2:$H$200, ""))</f>
        <v>20</v>
      </c>
      <c r="D20" s="10">
        <f t="shared" si="0"/>
        <v>6</v>
      </c>
      <c r="E20" s="10">
        <f>SUMIFS(Odsustva!$F$2:$F$500,Odsustva!$B$2:$B$500,$A20,Odsustva!$G$2:$G$500,$B$1,Odsustva!$E$2:$E$500,"&lt;="&amp;$E$1,Odsustva!$K$2:$K$500,"DA",Odsustva!$J$2:$J$500,"Odobreno")+SUMIFS(Odsustva!$F$2:$F$500,Odsustva!$B$2:$B$500,$A20,Odsustva!$G$2:$G$500,$B$1,Odsustva!$E$2:$E$500,"&lt;="&amp;$E$1,Odsustva!$K$2:$K$500,"DA",Odsustva!$J$2:$J$500,"Evidentirano")</f>
        <v>6</v>
      </c>
      <c r="F20" s="10">
        <f t="shared" si="1"/>
        <v>0</v>
      </c>
      <c r="G20" s="10">
        <f t="shared" ca="1" si="2"/>
        <v>0</v>
      </c>
      <c r="H20" s="10">
        <f t="shared" ca="1" si="3"/>
        <v>20</v>
      </c>
      <c r="I20" s="10">
        <f ca="1">SUMIFS(Odsustva!$F$2:$F$500,Odsustva!$B$2:$B$500,$A20,Odsustva!$G$2:$G$500,$B$1,Odsustva!$E$2:$E$500,"&lt;="&amp;$B$2,Odsustva!$K$2:$K$500,"DA",Odsustva!$J$2:$J$500,"Odobreno")+SUMIFS(Odsustva!$F$2:$F$500,Odsustva!$B$2:$B$500,$A20,Odsustva!$G$2:$G$500,$B$1,Odsustva!$E$2:$E$500,"&lt;="&amp;$B$2,Odsustva!$K$2:$K$500,"DA",Odsustva!$J$2:$J$500,"Evidentirano")</f>
        <v>2</v>
      </c>
      <c r="J20" s="10">
        <f ca="1">SUMIFS(Odsustva!$F$2:$F$500,Odsustva!$B$2:$B$500,$A20,Odsustva!$G$2:$G$500,$B$1,Odsustva!$D$2:$D$500,"&gt;"&amp;$B$2,Odsustva!$K$2:$K$500,"DA",Odsustva!$J$2:$J$500,"Planirano")+SUMIFS(Odsustva!$F$2:$F$500,Odsustva!$B$2:$B$500,$A20,Odsustva!$G$2:$G$500,$B$1,Odsustva!$D$2:$D$500,"&gt;"&amp;$B$2,Odsustva!$K$2:$K$500,"DA",Odsustva!$J$2:$J$500,"Odobreno")</f>
        <v>4</v>
      </c>
      <c r="K20" s="10">
        <f t="shared" ca="1" si="4"/>
        <v>18</v>
      </c>
      <c r="L20" s="10">
        <f t="shared" ca="1" si="5"/>
        <v>14</v>
      </c>
    </row>
    <row r="21" spans="1:12" x14ac:dyDescent="0.3">
      <c r="A21" t="str">
        <v>Uroš Velinovski</v>
      </c>
      <c r="B21" s="10">
        <f>IF($A21="","", _xlfn.XLOOKUP($A21, Zaposleni!$B$2:$B$200, Zaposleni!$G$2:$G$200, ""))</f>
        <v>14</v>
      </c>
      <c r="C21" s="10">
        <f>IF($A21="","", _xlfn.XLOOKUP($A21, Zaposleni!$B$2:$B$200, Zaposleni!$H$2:$H$200, ""))</f>
        <v>20</v>
      </c>
      <c r="D21" s="10">
        <f t="shared" si="0"/>
        <v>14</v>
      </c>
      <c r="E21" s="10">
        <f>SUMIFS(Odsustva!$F$2:$F$500,Odsustva!$B$2:$B$500,$A21,Odsustva!$G$2:$G$500,$B$1,Odsustva!$E$2:$E$500,"&lt;="&amp;$E$1,Odsustva!$K$2:$K$500,"DA",Odsustva!$J$2:$J$500,"Odobreno")+SUMIFS(Odsustva!$F$2:$F$500,Odsustva!$B$2:$B$500,$A21,Odsustva!$G$2:$G$500,$B$1,Odsustva!$E$2:$E$500,"&lt;="&amp;$E$1,Odsustva!$K$2:$K$500,"DA",Odsustva!$J$2:$J$500,"Evidentirano")</f>
        <v>2</v>
      </c>
      <c r="F21" s="10">
        <f t="shared" si="1"/>
        <v>12</v>
      </c>
      <c r="G21" s="10">
        <f t="shared" ca="1" si="2"/>
        <v>0</v>
      </c>
      <c r="H21" s="10">
        <f t="shared" ca="1" si="3"/>
        <v>32</v>
      </c>
      <c r="I21" s="10">
        <f ca="1">SUMIFS(Odsustva!$F$2:$F$500,Odsustva!$B$2:$B$500,$A21,Odsustva!$G$2:$G$500,$B$1,Odsustva!$E$2:$E$500,"&lt;="&amp;$B$2,Odsustva!$K$2:$K$500,"DA",Odsustva!$J$2:$J$500,"Odobreno")+SUMIFS(Odsustva!$F$2:$F$500,Odsustva!$B$2:$B$500,$A21,Odsustva!$G$2:$G$500,$B$1,Odsustva!$E$2:$E$500,"&lt;="&amp;$B$2,Odsustva!$K$2:$K$500,"DA",Odsustva!$J$2:$J$500,"Evidentirano")</f>
        <v>2</v>
      </c>
      <c r="J21" s="10">
        <f ca="1">SUMIFS(Odsustva!$F$2:$F$500,Odsustva!$B$2:$B$500,$A21,Odsustva!$G$2:$G$500,$B$1,Odsustva!$D$2:$D$500,"&gt;"&amp;$B$2,Odsustva!$K$2:$K$500,"DA",Odsustva!$J$2:$J$500,"Planirano")+SUMIFS(Odsustva!$F$2:$F$500,Odsustva!$B$2:$B$500,$A21,Odsustva!$G$2:$G$500,$B$1,Odsustva!$D$2:$D$500,"&gt;"&amp;$B$2,Odsustva!$K$2:$K$500,"DA",Odsustva!$J$2:$J$500,"Odobreno")</f>
        <v>0</v>
      </c>
      <c r="K21" s="10">
        <f t="shared" ca="1" si="4"/>
        <v>30</v>
      </c>
      <c r="L21" s="10">
        <f t="shared" ca="1" si="5"/>
        <v>30</v>
      </c>
    </row>
    <row r="22" spans="1:12" x14ac:dyDescent="0.3">
      <c r="B22" s="10"/>
      <c r="C22" s="10" t="str">
        <f>IF($A22="","", _xlfn.XLOOKUP($A22, Zaposleni!$B$2:$B$200, Zaposleni!$H$2:$H$200, ""))</f>
        <v/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">
      <c r="D26" s="10"/>
      <c r="E26" s="10"/>
      <c r="K26" s="10"/>
    </row>
  </sheetData>
  <dataValidations disablePrompts="1" count="1">
    <dataValidation type="whole" sqref="B1" xr:uid="{00000000-0002-0000-0800-000000000000}">
      <formula1>2020</formula1>
      <formula2>2035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Pravila</vt:lpstr>
      <vt:lpstr>Test Test</vt:lpstr>
      <vt:lpstr>Uputstvo</vt:lpstr>
      <vt:lpstr>Zaposleni</vt:lpstr>
      <vt:lpstr>Tipovi odsustva</vt:lpstr>
      <vt:lpstr>Praznici</vt:lpstr>
      <vt:lpstr>Odsustva</vt:lpstr>
      <vt:lpstr>Statistika</vt:lpstr>
      <vt:lpstr>GO_Saldo</vt:lpstr>
      <vt:lpstr>GO_Saldo_Detaljno</vt:lpstr>
      <vt:lpstr>ListaAktivnih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Aleksandar Jankovic</cp:lastModifiedBy>
  <dcterms:created xsi:type="dcterms:W3CDTF">2026-01-12T11:59:39Z</dcterms:created>
  <dcterms:modified xsi:type="dcterms:W3CDTF">2026-04-28T08:52:47Z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0x0101004E9AAF76B5773345A810B00D459F8FB4</vt:lpwstr>
  </property>
  <property fmtid="{D5CDD505-2E9C-101B-9397-08002B2CF9AE}" pid="3" name="MediaServiceImageTags">
    <vt:lpwstr/>
  </property>
</Properties>
</file>